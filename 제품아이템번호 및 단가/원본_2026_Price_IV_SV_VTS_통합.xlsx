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esktop\진공펌프_소개_자동화\제품아이템번호 및 단가\"/>
    </mc:Choice>
  </mc:AlternateContent>
  <xr:revisionPtr revIDLastSave="0" documentId="13_ncr:1_{BF46A18E-E37D-42A8-88B3-68A29F3A4AB0}" xr6:coauthVersionLast="47" xr6:coauthVersionMax="47" xr10:uidLastSave="{00000000-0000-0000-0000-000000000000}"/>
  <bookViews>
    <workbookView xWindow="-108" yWindow="-108" windowWidth="23256" windowHeight="12456" xr2:uid="{93D1220B-E3B9-4802-A7F0-FA322AE8C267}"/>
  </bookViews>
  <sheets>
    <sheet name="2026 Price_IV" sheetId="5" r:id="rId1"/>
    <sheet name="견적서양식" sheetId="7" r:id="rId2"/>
  </sheets>
  <externalReferences>
    <externalReference r:id="rId3"/>
  </externalReferences>
  <definedNames>
    <definedName name="_xlnm._FilterDatabase" localSheetId="0" hidden="1">'2026 Price_IV'!$A$2:$D$916</definedName>
    <definedName name="EV__LASTREFTIME__" hidden="1">"2014-02-25 오후 1:56:20"</definedName>
    <definedName name="_xlnm.Print_Area" localSheetId="0">'2026 Price_IV'!$A$1:$D$916</definedName>
    <definedName name="결제조건">'[1]MASTER DATA'!$F$3:$F$10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7" l="1"/>
  <c r="F34" i="7" s="1"/>
  <c r="F35" i="7" l="1"/>
  <c r="F36" i="7" s="1"/>
</calcChain>
</file>

<file path=xl/sharedStrings.xml><?xml version="1.0" encoding="utf-8"?>
<sst xmlns="http://schemas.openxmlformats.org/spreadsheetml/2006/main" count="1867" uniqueCount="1851">
  <si>
    <t>Part NO</t>
    <phoneticPr fontId="0" type="Hiragana"/>
  </si>
  <si>
    <t>Part Description</t>
    <phoneticPr fontId="0" type="Hiragana"/>
  </si>
  <si>
    <t>YT922V014</t>
  </si>
  <si>
    <t>VALVE 3WAY+CABLE 15M (SET) BV155</t>
  </si>
  <si>
    <t>YT79U1Z50</t>
  </si>
  <si>
    <t>P079 IDT-001 W/10M CABLE</t>
  </si>
  <si>
    <t>Y04210316</t>
  </si>
  <si>
    <t>TRICOFLEX REINFORCED 1" HOSE x5MTR</t>
    <phoneticPr fontId="3" type="noConversion"/>
  </si>
  <si>
    <t>PTZ000123</t>
    <phoneticPr fontId="0" type="Hiragana"/>
  </si>
  <si>
    <t>O RING WITH CENTER RING ISO200F</t>
    <phoneticPr fontId="3" type="noConversion"/>
  </si>
  <si>
    <t>PT66QQ026</t>
  </si>
  <si>
    <t>P066 EXHAUST PORT KF40(SLANTED) KIT</t>
    <phoneticPr fontId="0" type="Hiragana"/>
  </si>
  <si>
    <t>PT21QQ007</t>
  </si>
  <si>
    <t>STATOR RINGS P021C</t>
    <phoneticPr fontId="3" type="noConversion"/>
  </si>
  <si>
    <t>P021 Stator Blades Kit (판매불가)</t>
    <phoneticPr fontId="3" type="noConversion"/>
  </si>
  <si>
    <t>H11350116</t>
    <phoneticPr fontId="0" type="Hiragana"/>
  </si>
  <si>
    <t>Fomblin Grease 100g CR862</t>
    <phoneticPr fontId="0" type="Hiragana"/>
  </si>
  <si>
    <t>H11032010</t>
  </si>
  <si>
    <t>Apiezon Grease AP100 50g Tube</t>
  </si>
  <si>
    <t>A21071730</t>
    <phoneticPr fontId="0" type="Hiragana"/>
  </si>
  <si>
    <t>Torque Limiter 42mm  700Nm</t>
  </si>
  <si>
    <t>ES6527566</t>
  </si>
  <si>
    <t>O-RING   78 X 3   FKM - PK10</t>
  </si>
  <si>
    <t>D40001999</t>
  </si>
  <si>
    <t>100M Active Gauge Cable Assembly</t>
  </si>
  <si>
    <t>A21071731</t>
    <phoneticPr fontId="0" type="Hiragana"/>
  </si>
  <si>
    <t>Torque Limiter 1 5/8" 700Nm</t>
  </si>
  <si>
    <t>D37376500</t>
  </si>
  <si>
    <t>iGateway Pump Serial to Pump LON + 2 SIM</t>
  </si>
  <si>
    <t>D37280700</t>
  </si>
  <si>
    <t>Pump Display Terminal  (5way XLR)</t>
  </si>
  <si>
    <t>D37272800</t>
  </si>
  <si>
    <t>Pump Display Terminal</t>
  </si>
  <si>
    <t>D37215805</t>
    <phoneticPr fontId="0" type="Hiragana"/>
  </si>
  <si>
    <t>USB to PUMP RS232(5way XLR) INTERFACE</t>
    <phoneticPr fontId="0" type="Hiragana"/>
  </si>
  <si>
    <t>Pair Of Gears EH1200</t>
  </si>
  <si>
    <t>D14545801</t>
    <phoneticPr fontId="0" type="Hiragana"/>
  </si>
  <si>
    <t>Aim Body Tube Assy</t>
  </si>
  <si>
    <t>D02395801</t>
  </si>
  <si>
    <t>NW16 Stst Tube Apgx-H</t>
  </si>
  <si>
    <t>D02395000</t>
    <phoneticPr fontId="0" type="Hiragana"/>
  </si>
  <si>
    <t>APGX-H-NW16 STST CONV PIRANI</t>
  </si>
  <si>
    <t>D02392801</t>
  </si>
  <si>
    <t>NW25 Sts Tube Apgx-H  Spare</t>
  </si>
  <si>
    <t>C10516295</t>
  </si>
  <si>
    <t>NW40 BRAIDED FLEX 250MM P/LINE</t>
  </si>
  <si>
    <t>A73501707</t>
  </si>
  <si>
    <t>COOLING FAN ASSEMBLY KIT PK1</t>
  </si>
  <si>
    <t>A72601805</t>
    <phoneticPr fontId="0" type="Hiragana"/>
  </si>
  <si>
    <t>Spares Kit Tip Seal XDS5-5C/10-10C</t>
    <phoneticPr fontId="0" type="Hiragana"/>
  </si>
  <si>
    <t>AFTER COOLER HV8000</t>
    <phoneticPr fontId="0" type="Hiragana"/>
  </si>
  <si>
    <t>A71004026</t>
  </si>
  <si>
    <t>Tip Seals ESDP30/30A GVSP30</t>
  </si>
  <si>
    <t>Pair Of Gears DP250/400</t>
  </si>
  <si>
    <t>A23303001</t>
    <phoneticPr fontId="0" type="Hiragana"/>
  </si>
  <si>
    <t>Cooling Stack Dp160/250/400/EDP200</t>
  </si>
  <si>
    <t>A26401720</t>
    <phoneticPr fontId="0" type="Hiragana"/>
  </si>
  <si>
    <t>Rotor Driving EH2600</t>
  </si>
  <si>
    <t>A30751702</t>
    <phoneticPr fontId="0" type="Hiragana"/>
  </si>
  <si>
    <t>HEADPLATE SPARE EH2600/4200</t>
  </si>
  <si>
    <t>INTERCOOLER ASSY EH4200</t>
  </si>
  <si>
    <t>A55405001</t>
    <phoneticPr fontId="0" type="Hiragana"/>
  </si>
  <si>
    <t>BURNER LINER SPARE 12X6"D STD</t>
    <phoneticPr fontId="0" type="Hiragana"/>
  </si>
  <si>
    <t>A50597800</t>
    <phoneticPr fontId="0" type="Hiragana"/>
  </si>
  <si>
    <t>SILENCER SPARES KIT</t>
    <phoneticPr fontId="0" type="Hiragana"/>
  </si>
  <si>
    <t>A50597001</t>
    <phoneticPr fontId="0" type="Hiragana"/>
  </si>
  <si>
    <t>Silencer for XDS35I Scroll Pump</t>
    <phoneticPr fontId="0" type="Hiragana"/>
  </si>
  <si>
    <t>A50503000</t>
  </si>
  <si>
    <t>RV Pumps Extended Drain Plug</t>
    <phoneticPr fontId="0" type="Hiragana"/>
  </si>
  <si>
    <t>A36701776</t>
  </si>
  <si>
    <t>HV STATOR E2M275 PK1</t>
  </si>
  <si>
    <t>A36601778</t>
  </si>
  <si>
    <t>LV STATOR EM175/275</t>
    <phoneticPr fontId="0" type="Hiragana"/>
  </si>
  <si>
    <t>A36501772</t>
    <phoneticPr fontId="0" type="Hiragana"/>
  </si>
  <si>
    <t>HV STATOR E2M80</t>
    <phoneticPr fontId="0" type="Hiragana"/>
  </si>
  <si>
    <t>A36501744</t>
    <phoneticPr fontId="0" type="Hiragana"/>
  </si>
  <si>
    <t>LV Stator E2M80</t>
    <phoneticPr fontId="0" type="Hiragana"/>
  </si>
  <si>
    <t>A70501713</t>
  </si>
  <si>
    <t>Stator LV DP250/400</t>
  </si>
  <si>
    <t>A70501714</t>
  </si>
  <si>
    <t>Stator Ms DP250 GV250</t>
  </si>
  <si>
    <t>A70501725</t>
    <phoneticPr fontId="0" type="Hiragana"/>
  </si>
  <si>
    <t>Exhaust Manifold Chemical</t>
  </si>
  <si>
    <t>A70501726</t>
    <phoneticPr fontId="0" type="Hiragana"/>
  </si>
  <si>
    <t>Cooling Housing Dp250/400</t>
  </si>
  <si>
    <t>A30551711</t>
    <phoneticPr fontId="3" type="noConversion"/>
  </si>
  <si>
    <t>Cooling Coil EH1200 Spare</t>
  </si>
  <si>
    <t xml:space="preserve">A30551710 </t>
    <phoneticPr fontId="3" type="noConversion"/>
  </si>
  <si>
    <t>Cooling Coil Assy EH1200 Spare</t>
  </si>
  <si>
    <t>A24801406</t>
  </si>
  <si>
    <t>VIBRATION ISOLATORS EM175/275</t>
    <phoneticPr fontId="0" type="Hiragana"/>
  </si>
  <si>
    <t>A70601716</t>
    <phoneticPr fontId="3" type="noConversion"/>
  </si>
  <si>
    <t>Headplate HV DP80/160/250</t>
  </si>
  <si>
    <t>A22906003</t>
    <phoneticPr fontId="0" type="Hiragana"/>
  </si>
  <si>
    <t>Vacuum Gauge</t>
    <phoneticPr fontId="0" type="Hiragana"/>
  </si>
  <si>
    <t>A22903772</t>
  </si>
  <si>
    <t>Driving Gears, 60/72Hz, Cdx/Idx</t>
  </si>
  <si>
    <t>A70601730</t>
    <phoneticPr fontId="0" type="Hiragana"/>
  </si>
  <si>
    <t>SHAFT X (DRIVING) DP250/EDP200</t>
    <phoneticPr fontId="3" type="noConversion"/>
  </si>
  <si>
    <t>D39700000</t>
    <phoneticPr fontId="0" type="Hiragana"/>
  </si>
  <si>
    <t>TIC Instrument Controller 3 Head RS232</t>
  </si>
  <si>
    <t>Pressure Gauge Wika 0-1Bar</t>
  </si>
  <si>
    <t>A20404011</t>
    <phoneticPr fontId="0" type="Hiragana"/>
  </si>
  <si>
    <t>Roller Bearing</t>
  </si>
  <si>
    <t>KIT,SERVICE,LV E BOX,1 CKT,PBUS,MAXCOOL</t>
  </si>
  <si>
    <t>429-296-005</t>
  </si>
  <si>
    <t>SHAFT SLEEVE</t>
  </si>
  <si>
    <t>ZD1G3A2AAAA</t>
    <phoneticPr fontId="3" type="noConversion"/>
  </si>
  <si>
    <t>Spare Tube MP - NW25 Pk1</t>
  </si>
  <si>
    <t>ZD1G3A1AAAA</t>
    <phoneticPr fontId="3" type="noConversion"/>
  </si>
  <si>
    <t>Spare Tube MP - NW16 Pk1</t>
  </si>
  <si>
    <t>ZD1G2A2AAAA</t>
  </si>
  <si>
    <t>Spare Tube LC - NW25 Pk1</t>
    <phoneticPr fontId="3" type="noConversion"/>
  </si>
  <si>
    <t>ZD1G2A1AAAA</t>
    <phoneticPr fontId="3" type="noConversion"/>
  </si>
  <si>
    <t>Spare Tube LC - NW16 Pk1</t>
    <phoneticPr fontId="3" type="noConversion"/>
  </si>
  <si>
    <t>ZD1G1A2AAAA</t>
  </si>
  <si>
    <t>Spare Tube M - NW25 Pk1</t>
    <phoneticPr fontId="3" type="noConversion"/>
  </si>
  <si>
    <t>ZD1G1A1AAAA</t>
    <phoneticPr fontId="3" type="noConversion"/>
  </si>
  <si>
    <t>Spare Tube M - NW16 Pk1</t>
  </si>
  <si>
    <t>PT21QQ013</t>
  </si>
  <si>
    <t>COLUMN ASSY P021 to COLUMN ASSY kit P021</t>
  </si>
  <si>
    <t>NR5001000</t>
  </si>
  <si>
    <t>ES18S Silencer</t>
  </si>
  <si>
    <t>NKA966019</t>
  </si>
  <si>
    <t>Silencer NW50-NW50+Elbow NW50</t>
    <phoneticPr fontId="0" type="Hiragana"/>
  </si>
  <si>
    <t>NKA965969</t>
    <phoneticPr fontId="0" type="Hiragana"/>
  </si>
  <si>
    <t>Trapped Ring ISO320(Nanopure #5175SP)</t>
    <phoneticPr fontId="0" type="Hiragana"/>
  </si>
  <si>
    <t>NKA965387</t>
    <phoneticPr fontId="0" type="Hiragana"/>
  </si>
  <si>
    <t>SILENCER FOR IGX PUMP</t>
    <phoneticPr fontId="0" type="Hiragana"/>
  </si>
  <si>
    <t>NKA511000</t>
  </si>
  <si>
    <t>SET UP PARTS-IGX PUMP</t>
  </si>
  <si>
    <t>NKA002600</t>
  </si>
  <si>
    <t>VIBRATION PAD FOR PUMPS</t>
  </si>
  <si>
    <t>NKA001964</t>
    <phoneticPr fontId="0" type="Hiragana"/>
  </si>
  <si>
    <t>ES602 SILENCER(SWING CLAMP)</t>
    <phoneticPr fontId="0" type="Hiragana"/>
  </si>
  <si>
    <t>NKA001205</t>
  </si>
  <si>
    <t>3/8   QUICK COUPLING SUS LOCAL (iXM1800)</t>
    <phoneticPr fontId="0" type="Hiragana"/>
  </si>
  <si>
    <t>M59903773</t>
  </si>
  <si>
    <t>PIPE ASSY-PUMP MOTOR FEED PK5</t>
  </si>
  <si>
    <t>M57433756</t>
    <phoneticPr fontId="0" type="Hiragana"/>
  </si>
  <si>
    <t>PIPE ASSY-PUMP HEATSINK CW RTN PK5</t>
  </si>
  <si>
    <t>M57433032</t>
    <phoneticPr fontId="0" type="Hiragana"/>
  </si>
  <si>
    <t>SIDE HEATSINK ASSY-500LCS PK1</t>
  </si>
  <si>
    <t>M57203734</t>
    <phoneticPr fontId="0" type="Hiragana"/>
  </si>
  <si>
    <t>PIPE ASSY-PUMP GB COOLING LINK PK 5</t>
  </si>
  <si>
    <t>M56104054</t>
  </si>
  <si>
    <t>REFLECT PTFE CHK VALVE ASSY</t>
  </si>
  <si>
    <t>KIT716040</t>
  </si>
  <si>
    <t>EPX close couple hook-up kit</t>
  </si>
  <si>
    <t>KIT713101</t>
    <phoneticPr fontId="0" type="Hiragana"/>
  </si>
  <si>
    <t>ISO100 Deadleg entry with test port, BGV</t>
  </si>
  <si>
    <t>KIT712101</t>
  </si>
  <si>
    <t>ISO100 Straight entry with test port, BG</t>
    <phoneticPr fontId="3" type="noConversion"/>
  </si>
  <si>
    <t>KIT712064</t>
  </si>
  <si>
    <t>ISO63 Straight entry with test port, BGV</t>
  </si>
  <si>
    <t>KIT710100</t>
  </si>
  <si>
    <t>ISO100 Straight entry, no Gate Valve</t>
    <phoneticPr fontId="0" type="Hiragana"/>
  </si>
  <si>
    <t>KIT710063</t>
    <phoneticPr fontId="0" type="Hiragana"/>
  </si>
  <si>
    <t>ISO63 Straight entry, no Gate Valve</t>
    <phoneticPr fontId="0" type="Hiragana"/>
  </si>
  <si>
    <t>H12205002</t>
  </si>
  <si>
    <t>AC35 Steam Activated Carbon Pack 3Kg</t>
  </si>
  <si>
    <t>H12205001</t>
    <phoneticPr fontId="0" type="Hiragana"/>
  </si>
  <si>
    <t>AC35 Steam Activated Carbon Pack 0.5Kg</t>
    <phoneticPr fontId="0" type="Hiragana"/>
  </si>
  <si>
    <t>H11350013</t>
  </si>
  <si>
    <t>Ar555 PFPE Grease - 100G</t>
  </si>
  <si>
    <t>H11312020</t>
  </si>
  <si>
    <t>FOMBLIN® Y VAC 25/6   5KG</t>
    <phoneticPr fontId="0" type="Hiragana"/>
  </si>
  <si>
    <t>H11312019</t>
    <phoneticPr fontId="0" type="Hiragana"/>
  </si>
  <si>
    <t>FOMBLIN® Y VAC 25/6   1KG</t>
    <phoneticPr fontId="0" type="Hiragana"/>
  </si>
  <si>
    <t>H11307018</t>
    <phoneticPr fontId="0" type="Hiragana"/>
  </si>
  <si>
    <t>KRYTOX 1506 1KG PACK</t>
    <phoneticPr fontId="0" type="Hiragana"/>
  </si>
  <si>
    <t>H11306019</t>
    <phoneticPr fontId="0" type="Hiragana"/>
  </si>
  <si>
    <t>FOMBLIN® Y VAC 16/6   1KG</t>
    <phoneticPr fontId="0" type="Hiragana"/>
  </si>
  <si>
    <t>H11301020</t>
    <phoneticPr fontId="0" type="Hiragana"/>
  </si>
  <si>
    <t>FOMBLIN® Y VAC 06/6   5KG</t>
    <phoneticPr fontId="0" type="Hiragana"/>
  </si>
  <si>
    <t>H11301019</t>
    <phoneticPr fontId="3" type="noConversion"/>
  </si>
  <si>
    <t>FOMBLIN® Y VAC 06/6   1KG</t>
    <phoneticPr fontId="0" type="Hiragana"/>
  </si>
  <si>
    <t>H11151002</t>
  </si>
  <si>
    <t>Apiezon Grease M - 25G</t>
  </si>
  <si>
    <t>Ultragrade EXTEND 110 – 5LT</t>
  </si>
  <si>
    <t>H11032012</t>
  </si>
  <si>
    <t>Ultragrade Extend 110 - 4L</t>
  </si>
  <si>
    <t>H11030002</t>
  </si>
  <si>
    <t>V Lube F - 25L (Not For Us)</t>
  </si>
  <si>
    <t>H11024015</t>
  </si>
  <si>
    <t>Ultragrade Performance 20 - 1L</t>
  </si>
  <si>
    <t>Ultragrade Performance 20 - 4L</t>
  </si>
  <si>
    <t>H06200789</t>
    <phoneticPr fontId="0" type="Hiragana"/>
  </si>
  <si>
    <t>Water Valve MK5 Brass IGX Pk1</t>
    <phoneticPr fontId="0" type="Hiragana"/>
  </si>
  <si>
    <t>H03530788</t>
  </si>
  <si>
    <t>EAGLE 1/2"BSP SS QC-Socket PK5</t>
    <phoneticPr fontId="0" type="Hiragana"/>
  </si>
  <si>
    <t>H03530787</t>
    <phoneticPr fontId="0" type="Hiragana"/>
  </si>
  <si>
    <t>EAGLE 1/2"BSP SS QC-PLUG PK5</t>
    <phoneticPr fontId="0" type="Hiragana"/>
  </si>
  <si>
    <t>H03530784</t>
  </si>
  <si>
    <t>EAGLE 1/4"BSP SS QC-SKT PK5</t>
  </si>
  <si>
    <t>H03530783</t>
  </si>
  <si>
    <t>EAGLE 1/4"BSP SS QC-PLUG PK5</t>
    <phoneticPr fontId="0" type="Hiragana"/>
  </si>
  <si>
    <t>H03530084</t>
  </si>
  <si>
    <t>EAGLE 1/4"BSP SS QC-SKT</t>
    <phoneticPr fontId="0" type="Hiragana"/>
  </si>
  <si>
    <t>H03530083</t>
  </si>
  <si>
    <t>EAGLE 1/4"BSP SS QC-PLUG</t>
  </si>
  <si>
    <t>Parallel Dowel 12 Ida X 25</t>
  </si>
  <si>
    <t>22421-011</t>
  </si>
  <si>
    <t>REGULATOR R06-122-NNAG</t>
    <phoneticPr fontId="3" type="noConversion"/>
  </si>
  <si>
    <t>23512-037</t>
    <phoneticPr fontId="0" type="Hiragana"/>
  </si>
  <si>
    <t>Elbow 1/4" Dia x 1/8" BSPT Male</t>
  </si>
  <si>
    <t>H03517001</t>
    <phoneticPr fontId="0" type="Hiragana"/>
  </si>
  <si>
    <t>PRESSURE PLUG 3/4"BSP</t>
  </si>
  <si>
    <t>H02601054</t>
  </si>
  <si>
    <t>AP201 Fluid - 4L</t>
  </si>
  <si>
    <t>H02600056</t>
    <phoneticPr fontId="0" type="Hiragana"/>
  </si>
  <si>
    <t>Alumina 200g</t>
    <phoneticPr fontId="0" type="Hiragana"/>
  </si>
  <si>
    <t>H02600050</t>
    <phoneticPr fontId="0" type="Hiragana"/>
  </si>
  <si>
    <t>Alumina 450g</t>
    <phoneticPr fontId="0" type="Hiragana"/>
  </si>
  <si>
    <t>H02301040</t>
  </si>
  <si>
    <t>H02301018</t>
  </si>
  <si>
    <t>Apiezon Grease T - 25G Tube</t>
  </si>
  <si>
    <t>Apiezon Wax W40 250g</t>
  </si>
  <si>
    <t>Apiezon Grease N - 25G Tube</t>
  </si>
  <si>
    <t>H02124038</t>
    <phoneticPr fontId="0" type="Hiragana"/>
  </si>
  <si>
    <t>NW50 O-RING FKM GP Pk 5</t>
    <phoneticPr fontId="0" type="Hiragana"/>
  </si>
  <si>
    <t>H02124037</t>
    <phoneticPr fontId="0" type="Hiragana"/>
  </si>
  <si>
    <t>NW40 O-RING FKM GP Pk 5</t>
    <phoneticPr fontId="0" type="Hiragana"/>
  </si>
  <si>
    <t>H02124035</t>
    <phoneticPr fontId="0" type="Hiragana"/>
  </si>
  <si>
    <t>NW25 O-RING FKM GP Pk 5</t>
    <phoneticPr fontId="0" type="Hiragana"/>
  </si>
  <si>
    <t>H02124033</t>
    <phoneticPr fontId="0" type="Hiragana"/>
  </si>
  <si>
    <t>NW16 O-RING FKM GP Pk 5</t>
    <phoneticPr fontId="0" type="Hiragana"/>
  </si>
  <si>
    <t>H02123027</t>
    <phoneticPr fontId="0" type="Hiragana"/>
  </si>
  <si>
    <t>O-RING FKM GP 0056-24Met Pk 5</t>
    <phoneticPr fontId="0" type="Hiragana"/>
  </si>
  <si>
    <t>H02122083</t>
    <phoneticPr fontId="0" type="Hiragana"/>
  </si>
  <si>
    <t>O-RING FKM GP  69.5ID X 3.0SEC</t>
    <phoneticPr fontId="0" type="Hiragana"/>
  </si>
  <si>
    <t>H02122037</t>
  </si>
  <si>
    <t>O-Ring Fkm Gp  15.6Id X 2.4Sec</t>
  </si>
  <si>
    <t>H02120037</t>
    <phoneticPr fontId="0" type="Hiragana"/>
  </si>
  <si>
    <t>O-Ring NIT 15.6ID x 2.4SEC (오일플러그오링)</t>
    <phoneticPr fontId="0" type="Hiragana"/>
  </si>
  <si>
    <t>H02106208</t>
  </si>
  <si>
    <t>O-RING FKM GP 1208 Pk 1</t>
  </si>
  <si>
    <t>H02106161</t>
  </si>
  <si>
    <t>O-RING FKM GP 1161 Pk 1</t>
  </si>
  <si>
    <t>H02106011</t>
  </si>
  <si>
    <t>O-RING FKM GP 0111 Pk 5</t>
    <phoneticPr fontId="0" type="Hiragana"/>
  </si>
  <si>
    <t>H02106010</t>
  </si>
  <si>
    <t>O-RING FKM GP 0012 Pk 5</t>
  </si>
  <si>
    <t>H02104008</t>
    <phoneticPr fontId="0" type="Hiragana"/>
  </si>
  <si>
    <t>DOWTY BONDED SEAL MK H 1" BSP</t>
  </si>
  <si>
    <t>H02104002</t>
    <phoneticPr fontId="0" type="Hiragana"/>
  </si>
  <si>
    <t>DOWTY BONDED SEAL MK B 1/4"BSP</t>
  </si>
  <si>
    <t>H01706012</t>
    <phoneticPr fontId="0" type="Hiragana"/>
  </si>
  <si>
    <t>Heater 1700W 6D 380 Volt</t>
    <phoneticPr fontId="0" type="Hiragana"/>
  </si>
  <si>
    <t>H01700155</t>
    <phoneticPr fontId="0" type="Hiragana"/>
  </si>
  <si>
    <t>Heater 210V 1400W KB80</t>
    <phoneticPr fontId="0" type="Hiragana"/>
  </si>
  <si>
    <t>H01700134</t>
    <phoneticPr fontId="0" type="Hiragana"/>
  </si>
  <si>
    <t>Heater 210V 850W KB40</t>
    <phoneticPr fontId="0" type="Hiragana"/>
  </si>
  <si>
    <t>H01700113</t>
    <phoneticPr fontId="0" type="Hiragana"/>
  </si>
  <si>
    <t>Heater 240V 350W KB15</t>
  </si>
  <si>
    <t>H01700107</t>
  </si>
  <si>
    <t>Heater 210V 350W KB15</t>
  </si>
  <si>
    <t>H01700063</t>
  </si>
  <si>
    <t>Heater 210V 1000W KB65</t>
  </si>
  <si>
    <t>H01700054</t>
  </si>
  <si>
    <t>Heater 230V 1000W KB65</t>
  </si>
  <si>
    <t>E21909773</t>
    <phoneticPr fontId="0" type="Hiragana"/>
  </si>
  <si>
    <t>Harting Plug Packed 6 Way (IH1800)</t>
    <phoneticPr fontId="0" type="Hiragana"/>
  </si>
  <si>
    <t>D40001500</t>
  </si>
  <si>
    <t>50M Active Gauge Cable</t>
  </si>
  <si>
    <t>D40001250</t>
  </si>
  <si>
    <t>25M Active Gauge Cable</t>
  </si>
  <si>
    <t>D40001150</t>
  </si>
  <si>
    <t>15M Active Gauge Cable</t>
  </si>
  <si>
    <t>D40001100</t>
  </si>
  <si>
    <t>10M Active Gauge Cable</t>
  </si>
  <si>
    <t>D40001050</t>
  </si>
  <si>
    <t>5M Active Gauge Cable</t>
  </si>
  <si>
    <t>D40001030</t>
    <phoneticPr fontId="0" type="Hiragana"/>
  </si>
  <si>
    <t>3M Active Gauge Cable</t>
    <phoneticPr fontId="0" type="Hiragana"/>
  </si>
  <si>
    <t>D39801800</t>
    <phoneticPr fontId="0" type="Hiragana"/>
  </si>
  <si>
    <t>NXDS Controler PK1</t>
  </si>
  <si>
    <t>D39753000</t>
  </si>
  <si>
    <t>GXS/CXS Profibus Module Kit</t>
  </si>
  <si>
    <t>D39700822</t>
    <phoneticPr fontId="0" type="Hiragana"/>
  </si>
  <si>
    <t>TIC Front Panel Assembly (SPARE)</t>
    <phoneticPr fontId="0" type="Hiragana"/>
  </si>
  <si>
    <t>D39649000</t>
    <phoneticPr fontId="0" type="Hiragana"/>
  </si>
  <si>
    <t>NEXT P2 CONTROLLER ASSY</t>
    <phoneticPr fontId="0" type="Hiragana"/>
  </si>
  <si>
    <t>D37491770</t>
  </si>
  <si>
    <t>CONN ASSEMBLY  IXL200/IPUP2</t>
  </si>
  <si>
    <t>D37491735</t>
    <phoneticPr fontId="0" type="Hiragana"/>
  </si>
  <si>
    <t>HAN 1 CONN PLUG ASSY PK1</t>
  </si>
  <si>
    <t>D37485835</t>
    <phoneticPr fontId="3" type="noConversion"/>
  </si>
  <si>
    <t>CONN KIT,COMBINATION LV GXS750</t>
  </si>
  <si>
    <t>D37482833</t>
  </si>
  <si>
    <t>Conn Kit, PMP Power 3PH, 16B G4</t>
    <phoneticPr fontId="3" type="noConversion"/>
  </si>
  <si>
    <t>D37480833</t>
  </si>
  <si>
    <t>Conn Kit,PMP Power 3PH,10B IXH (iXL250Q, iXM1800)</t>
    <phoneticPr fontId="0" type="Hiragana"/>
  </si>
  <si>
    <t>D37422802</t>
  </si>
  <si>
    <t>Back Shell Kit MCM</t>
  </si>
  <si>
    <t>D37421000</t>
  </si>
  <si>
    <t>E73+A1+T1+SERIAL ITIM</t>
    <phoneticPr fontId="0" type="Hiragana"/>
  </si>
  <si>
    <t>D37420803</t>
  </si>
  <si>
    <t>Back Shell Kit E73 1x15 Way D</t>
    <phoneticPr fontId="0" type="Hiragana"/>
  </si>
  <si>
    <t>D37420000</t>
  </si>
  <si>
    <t>iTIM E73 &amp; A1 &amp; T1 &amp; Gate Valve Control</t>
  </si>
  <si>
    <t>D37370833</t>
  </si>
  <si>
    <t>CONN KIT,PUMP POWER,3PH,6B IGX</t>
  </si>
  <si>
    <t>D37370596</t>
  </si>
  <si>
    <t>5way XLR Extension Cable 15m</t>
  </si>
  <si>
    <t>D37370591</t>
  </si>
  <si>
    <t>Cable 5 way XLR, 3 m</t>
  </si>
  <si>
    <t>D37360370</t>
  </si>
  <si>
    <t>Hitachi Micro TIM</t>
  </si>
  <si>
    <t>D37360360</t>
  </si>
  <si>
    <t>NOVELLUS C3 Micro TIM</t>
  </si>
  <si>
    <t>D37360350</t>
  </si>
  <si>
    <t>LAM Alliance Micro TIM</t>
  </si>
  <si>
    <t>D37360340</t>
    <phoneticPr fontId="0" type="Hiragana"/>
  </si>
  <si>
    <t>E73 MicroTIM</t>
    <phoneticPr fontId="0" type="Hiragana"/>
  </si>
  <si>
    <t>D37360330</t>
  </si>
  <si>
    <t>TEL Micro TIM</t>
  </si>
  <si>
    <t>D37360320</t>
  </si>
  <si>
    <t>MCM MicroTIM</t>
  </si>
  <si>
    <t>D37360310</t>
  </si>
  <si>
    <t>SPI Micro TIM</t>
  </si>
  <si>
    <t>D37209800</t>
  </si>
  <si>
    <t>Holster Pump Display Module</t>
  </si>
  <si>
    <t>D37209030</t>
    <phoneticPr fontId="0" type="Hiragana"/>
  </si>
  <si>
    <t>PDT Bracket</t>
    <phoneticPr fontId="0" type="Hiragana"/>
  </si>
  <si>
    <t>D37209000</t>
    <phoneticPr fontId="0" type="Hiragana"/>
  </si>
  <si>
    <t>Hand Held Display Module IQ</t>
    <phoneticPr fontId="0" type="Hiragana"/>
  </si>
  <si>
    <t>D37207603</t>
  </si>
  <si>
    <t>IQ Extension Cable 4Way 500mm</t>
  </si>
  <si>
    <t>D37207061</t>
  </si>
  <si>
    <t>Connector Plug 06 IL CM XLR</t>
  </si>
  <si>
    <t>D35728000</t>
  </si>
  <si>
    <t>ASG NW16 2000 mbar</t>
  </si>
  <si>
    <t>A22903712</t>
    <phoneticPr fontId="3" type="noConversion"/>
  </si>
  <si>
    <t>Pair Of Gears EH2600/4200</t>
  </si>
  <si>
    <t>D14701801</t>
    <phoneticPr fontId="0" type="Hiragana"/>
  </si>
  <si>
    <t>Wrg Body Tube Assy NW25</t>
  </si>
  <si>
    <t>D14671801</t>
    <phoneticPr fontId="0" type="Hiragana"/>
  </si>
  <si>
    <t>AIM-SI1 Body Tube Assy NW25</t>
    <phoneticPr fontId="0" type="Hiragana"/>
  </si>
  <si>
    <t>D14661801</t>
    <phoneticPr fontId="0" type="Hiragana"/>
  </si>
  <si>
    <t>AIM Body Tube Assy  DN40CF</t>
  </si>
  <si>
    <t>D14642000</t>
    <phoneticPr fontId="0" type="Hiragana"/>
  </si>
  <si>
    <t>AIM-X-NW25 S/S Active In Magnetron Gauge</t>
    <phoneticPr fontId="0" type="Hiragana"/>
  </si>
  <si>
    <t>D02604801</t>
  </si>
  <si>
    <t>Spare tube for APG100-LC series NW25</t>
    <phoneticPr fontId="0" type="Hiragana"/>
  </si>
  <si>
    <t>D02603801</t>
  </si>
  <si>
    <t>Spare tube for APG100-LC series NW16</t>
  </si>
  <si>
    <t>D02602801</t>
  </si>
  <si>
    <t>Spare tube for APG100-M series NW25</t>
    <phoneticPr fontId="0" type="Hiragana"/>
  </si>
  <si>
    <t>D02601801</t>
    <phoneticPr fontId="0" type="Hiragana"/>
  </si>
  <si>
    <t>Spare tube for APG100-M series NW16</t>
    <phoneticPr fontId="0" type="Hiragana"/>
  </si>
  <si>
    <t>D02601800</t>
    <phoneticPr fontId="0" type="Hiragana"/>
  </si>
  <si>
    <t>Spare APG100-XM electronics module</t>
    <phoneticPr fontId="0" type="Hiragana"/>
  </si>
  <si>
    <t>D02391805</t>
  </si>
  <si>
    <t>Apgx-H Filtr PK5 Not Npt Spare</t>
    <phoneticPr fontId="3" type="noConversion"/>
  </si>
  <si>
    <t>C41401800</t>
    <phoneticPr fontId="0" type="Hiragana"/>
  </si>
  <si>
    <t>Spares Kit Pad &amp; Body O Ring PV240EK</t>
    <phoneticPr fontId="0" type="Hiragana"/>
  </si>
  <si>
    <t>C27159007</t>
    <phoneticPr fontId="0" type="Hiragana"/>
  </si>
  <si>
    <t>NW50 Metal Seal Aluminium</t>
  </si>
  <si>
    <t>C11004340</t>
    <phoneticPr fontId="0" type="Hiragana"/>
  </si>
  <si>
    <t>NW25 C Clamp</t>
    <phoneticPr fontId="0" type="Hiragana"/>
  </si>
  <si>
    <t>C10523085</t>
  </si>
  <si>
    <t>ISO100 MESH CENTRING FKM GP</t>
  </si>
  <si>
    <t>C10517490</t>
    <phoneticPr fontId="0" type="Hiragana"/>
  </si>
  <si>
    <t>NW50 TRAPPED O-RING (VITON)</t>
    <phoneticPr fontId="0" type="Hiragana"/>
  </si>
  <si>
    <t>C10517433</t>
    <phoneticPr fontId="0" type="Hiragana"/>
  </si>
  <si>
    <t>NW50 Full Nipple Stainless Steel</t>
    <phoneticPr fontId="0" type="Hiragana"/>
  </si>
  <si>
    <t>C10517403</t>
  </si>
  <si>
    <t>NW50 Swing Clamp Aluminium</t>
  </si>
  <si>
    <t>C10517401</t>
  </si>
  <si>
    <t>NW50 Clamping Ring Stainless Steel</t>
    <phoneticPr fontId="0" type="Hiragana"/>
  </si>
  <si>
    <t>C10517395</t>
    <phoneticPr fontId="0" type="Hiragana"/>
  </si>
  <si>
    <t>NW50 Centring Ring S/S FKM GP</t>
    <phoneticPr fontId="0" type="Hiragana"/>
  </si>
  <si>
    <t>C10517304</t>
    <phoneticPr fontId="0" type="Hiragana"/>
  </si>
  <si>
    <t>SWING CLAMP &amp; NUT NW50 POLYMER</t>
    <phoneticPr fontId="0" type="Hiragana"/>
  </si>
  <si>
    <t>C10516494</t>
    <phoneticPr fontId="0" type="Hiragana"/>
  </si>
  <si>
    <t>NW40 TP'D O-RING FKM GP PTFE</t>
    <phoneticPr fontId="0" type="Hiragana"/>
  </si>
  <si>
    <t>C10516490</t>
    <phoneticPr fontId="0" type="Hiragana"/>
  </si>
  <si>
    <t>NW40 TRAPPED O RING (VITON)</t>
    <phoneticPr fontId="0" type="Hiragana"/>
  </si>
  <si>
    <t>C10516449</t>
  </si>
  <si>
    <t>NW40/25 Reducer Stainless Steel</t>
  </si>
  <si>
    <t>C10516402</t>
    <phoneticPr fontId="0" type="Hiragana"/>
  </si>
  <si>
    <t>NW32/40 Hinged Clamp Aluminium</t>
  </si>
  <si>
    <t>C10516401</t>
    <phoneticPr fontId="0" type="Hiragana"/>
  </si>
  <si>
    <t>NW32/40 Clamping Ring Stainless Steel</t>
    <phoneticPr fontId="0" type="Hiragana"/>
  </si>
  <si>
    <t>C10516395</t>
    <phoneticPr fontId="0" type="Hiragana"/>
  </si>
  <si>
    <t>NW40 CENTRING FKM GP</t>
    <phoneticPr fontId="0" type="Hiragana"/>
  </si>
  <si>
    <t>C10516394</t>
    <phoneticPr fontId="0" type="Hiragana"/>
  </si>
  <si>
    <t>NW40 Polymer Centering Ring V</t>
    <phoneticPr fontId="0" type="Hiragana"/>
  </si>
  <si>
    <t>C10516393</t>
    <phoneticPr fontId="0" type="Hiragana"/>
  </si>
  <si>
    <t>NW40 Polymer Centring Ring N</t>
    <phoneticPr fontId="0" type="Hiragana"/>
  </si>
  <si>
    <t>C10516304</t>
    <phoneticPr fontId="0" type="Hiragana"/>
  </si>
  <si>
    <t>NW32/40 Swing Clamp Polymer</t>
    <phoneticPr fontId="0" type="Hiragana"/>
  </si>
  <si>
    <t>C10516303</t>
    <phoneticPr fontId="0" type="Hiragana"/>
  </si>
  <si>
    <t>NW32/40 Hinged Clamp Polymer</t>
  </si>
  <si>
    <t>C10516294</t>
  </si>
  <si>
    <t>NW40 Braided Flexible Pipeline 135mm S/S</t>
  </si>
  <si>
    <t>C10514645</t>
    <phoneticPr fontId="0" type="Hiragana"/>
  </si>
  <si>
    <t>NW25 Nozzle Aluminium</t>
    <phoneticPr fontId="0" type="Hiragana"/>
  </si>
  <si>
    <t>C10514490</t>
    <phoneticPr fontId="0" type="Hiragana"/>
  </si>
  <si>
    <t>NW25 TRAPPED CENTERING (VIT)</t>
    <phoneticPr fontId="0" type="Hiragana"/>
  </si>
  <si>
    <t xml:space="preserve">C10514436 </t>
  </si>
  <si>
    <t>NW25/10 Reducer Aluminium</t>
    <phoneticPr fontId="0" type="Hiragana"/>
  </si>
  <si>
    <t>C10514401</t>
    <phoneticPr fontId="0" type="Hiragana"/>
  </si>
  <si>
    <t>NW25 Clamping Ring Stainless Steel</t>
    <phoneticPr fontId="0" type="Hiragana"/>
  </si>
  <si>
    <t>C10514395</t>
    <phoneticPr fontId="0" type="Hiragana"/>
  </si>
  <si>
    <t>NW20/25 Centring FKM GP S/S Pk1</t>
    <phoneticPr fontId="0" type="Hiragana"/>
  </si>
  <si>
    <t>C10514394</t>
    <phoneticPr fontId="0" type="Hiragana"/>
  </si>
  <si>
    <t>NW25 POLYMER C RING FKM GP</t>
    <phoneticPr fontId="0" type="Hiragana"/>
  </si>
  <si>
    <t>C10514304</t>
    <phoneticPr fontId="0" type="Hiragana"/>
  </si>
  <si>
    <t>NW25 Swing Clamp Polymer</t>
    <phoneticPr fontId="0" type="Hiragana"/>
  </si>
  <si>
    <t>C10514085</t>
    <phoneticPr fontId="0" type="Hiragana"/>
  </si>
  <si>
    <t>NW25 CENTRING MESH SCRN FKM GP</t>
  </si>
  <si>
    <t>C10512501</t>
    <phoneticPr fontId="0" type="Hiragana"/>
  </si>
  <si>
    <t>NW10/16 ST.ST Clamping ring - Cu Free</t>
    <phoneticPr fontId="0" type="Hiragana"/>
  </si>
  <si>
    <t>C10512490</t>
  </si>
  <si>
    <t>NW10/16 TRAPPED CENTRING (VIT</t>
  </si>
  <si>
    <t>C10512402</t>
    <phoneticPr fontId="0" type="Hiragana"/>
  </si>
  <si>
    <t>NW10/16 Hinged Clamp Aluminium</t>
  </si>
  <si>
    <t>C10512401</t>
    <phoneticPr fontId="0" type="Hiragana"/>
  </si>
  <si>
    <t>NW10/16 Clamping Ring Stainless Steel</t>
    <phoneticPr fontId="0" type="Hiragana"/>
  </si>
  <si>
    <t>C10512395</t>
    <phoneticPr fontId="0" type="Hiragana"/>
  </si>
  <si>
    <t>NW16 Centring Ring FKM GP S/S</t>
    <phoneticPr fontId="0" type="Hiragana"/>
  </si>
  <si>
    <t>C10512394</t>
    <phoneticPr fontId="0" type="Hiragana"/>
  </si>
  <si>
    <t>NW16 Polymer Centring Ring V</t>
    <phoneticPr fontId="0" type="Hiragana"/>
  </si>
  <si>
    <t>C10512345</t>
  </si>
  <si>
    <t>NW10/16 ADAPT/CENT FKM GP SS</t>
  </si>
  <si>
    <t>C10512304</t>
    <phoneticPr fontId="0" type="Hiragana"/>
  </si>
  <si>
    <t>NW10/16 Swing Clamp Polymer</t>
    <phoneticPr fontId="0" type="Hiragana"/>
  </si>
  <si>
    <t>C10512303</t>
  </si>
  <si>
    <t>NW10/16 Hinged Clamp Polymer</t>
  </si>
  <si>
    <t xml:space="preserve">C10511411 </t>
  </si>
  <si>
    <t>NW10 Tee Aluminium</t>
    <phoneticPr fontId="0" type="Hiragana"/>
  </si>
  <si>
    <t xml:space="preserve">C10511398 </t>
    <phoneticPr fontId="0" type="Hiragana"/>
  </si>
  <si>
    <t>NW10 Centring Ring Nitrile Al Pk1</t>
    <phoneticPr fontId="0" type="Hiragana"/>
  </si>
  <si>
    <t xml:space="preserve">C10511287 </t>
  </si>
  <si>
    <t>NW10 Flexible Pipeline 1000mm S/S</t>
    <phoneticPr fontId="0" type="Hiragana"/>
  </si>
  <si>
    <t>C10501511</t>
  </si>
  <si>
    <t>NW50 To 1/2" VCR Female Adapter S/S</t>
  </si>
  <si>
    <t>C10501219</t>
    <phoneticPr fontId="0" type="Hiragana"/>
  </si>
  <si>
    <t>NW25-1/2" NPT Male Adapter S/S</t>
    <phoneticPr fontId="0" type="Hiragana"/>
  </si>
  <si>
    <t>C10501107</t>
  </si>
  <si>
    <t>NW16 Adapter Pipe 1/4"NPT Female S/S</t>
    <phoneticPr fontId="0" type="Hiragana"/>
  </si>
  <si>
    <t>C10011111</t>
  </si>
  <si>
    <t>ISO160/100 Reducer Stainless Steel</t>
  </si>
  <si>
    <t>C10011010</t>
    <phoneticPr fontId="0" type="Hiragana"/>
  </si>
  <si>
    <t>ISO160 Rotatable Flange Pack Mild Steel</t>
  </si>
  <si>
    <t>C10009670</t>
  </si>
  <si>
    <t>ISO100 Stainless Steel Bellows</t>
  </si>
  <si>
    <t>C10009123</t>
  </si>
  <si>
    <t>NW50/ISO100 Stainless Steel Adapter</t>
  </si>
  <si>
    <t>C10007670</t>
    <phoneticPr fontId="0" type="Hiragana"/>
  </si>
  <si>
    <t>ISO63 FLEX. BELLOWS S/S</t>
  </si>
  <si>
    <t>C10007010</t>
  </si>
  <si>
    <t>ISO63 Rotatable Flange Pack Mild Steel</t>
  </si>
  <si>
    <t>B8G200845</t>
    <phoneticPr fontId="0" type="Hiragana"/>
  </si>
  <si>
    <t>nEXT85 Bearing Exchange Tooling</t>
    <phoneticPr fontId="0" type="Hiragana"/>
  </si>
  <si>
    <t xml:space="preserve">B8G200828 </t>
  </si>
  <si>
    <t>Replacement Oil Cartridge Assembly</t>
  </si>
  <si>
    <t>B8G200827</t>
  </si>
  <si>
    <t>nEXT85/nEXT55 Bearing Assembly</t>
  </si>
  <si>
    <t>B8G200811</t>
    <phoneticPr fontId="0" type="Hiragana"/>
  </si>
  <si>
    <t>Bearing and oil kit nEXT85</t>
    <phoneticPr fontId="0" type="Hiragana"/>
  </si>
  <si>
    <t>B80000812</t>
    <phoneticPr fontId="0" type="Hiragana"/>
  </si>
  <si>
    <t>Oil Cartridge service tool kit</t>
    <phoneticPr fontId="0" type="Hiragana"/>
  </si>
  <si>
    <t>B80000811</t>
    <phoneticPr fontId="3" type="noConversion"/>
  </si>
  <si>
    <t>Oil Cartridge Serv Kit nEXT240/300/400</t>
    <phoneticPr fontId="3" type="noConversion"/>
  </si>
  <si>
    <t>B80000810</t>
    <phoneticPr fontId="0" type="Hiragana"/>
  </si>
  <si>
    <t>Bearing and oil kit nEXT240,300,400</t>
    <phoneticPr fontId="0" type="Hiragana"/>
  </si>
  <si>
    <t>B80000805</t>
    <phoneticPr fontId="0" type="Hiragana"/>
  </si>
  <si>
    <t>nEXT Bearing Service tool kit</t>
  </si>
  <si>
    <t>B76010817</t>
    <phoneticPr fontId="0" type="Hiragana"/>
  </si>
  <si>
    <t>Inlet Strainer Spares PK5</t>
  </si>
  <si>
    <t>B31101093</t>
  </si>
  <si>
    <t>Bus Bar Assembly HT10</t>
    <phoneticPr fontId="0" type="Hiragana"/>
  </si>
  <si>
    <t>B27158457</t>
    <phoneticPr fontId="3" type="noConversion"/>
  </si>
  <si>
    <t>ISO40 COSEAL FKM GP PK1</t>
  </si>
  <si>
    <t>B27158172</t>
    <phoneticPr fontId="0" type="Hiragana"/>
  </si>
  <si>
    <t>ISO160 TRAPPED O RING SEAL (V)</t>
    <phoneticPr fontId="0" type="Hiragana"/>
  </si>
  <si>
    <t>B27158171</t>
    <phoneticPr fontId="0" type="Hiragana"/>
  </si>
  <si>
    <t>ISO100 TRAPPED O RING SEAL (V)</t>
  </si>
  <si>
    <t>B27158170</t>
    <phoneticPr fontId="0" type="Hiragana"/>
  </si>
  <si>
    <t>ISO63 TRAPPED O RING SEAL (V)</t>
  </si>
  <si>
    <t>B27158166</t>
    <phoneticPr fontId="0" type="Hiragana"/>
  </si>
  <si>
    <t>ISO320 CENTRING RING FKM GP</t>
    <phoneticPr fontId="0" type="Hiragana"/>
  </si>
  <si>
    <t>B27158143</t>
    <phoneticPr fontId="0" type="Hiragana"/>
  </si>
  <si>
    <t>ISO250 CO-SEAL PACK</t>
    <phoneticPr fontId="0" type="Hiragana"/>
  </si>
  <si>
    <t>B27158064</t>
  </si>
  <si>
    <t>ISO63 Coseal FKM GP</t>
  </si>
  <si>
    <t>A74601800</t>
    <phoneticPr fontId="0" type="Hiragana"/>
  </si>
  <si>
    <t>XDD1 DIAPHRAGM PUMP SERVICE KIT</t>
    <phoneticPr fontId="0" type="Hiragana"/>
  </si>
  <si>
    <t>A73601729</t>
  </si>
  <si>
    <t>SC10+ FIXED SCROLL</t>
  </si>
  <si>
    <t>A73601711</t>
    <phoneticPr fontId="0" type="Hiragana"/>
  </si>
  <si>
    <t>OS-DOWELS ASSEMBLY KIT 10M/L10 </t>
    <phoneticPr fontId="0" type="Hiragana"/>
  </si>
  <si>
    <t>A73501810</t>
  </si>
  <si>
    <t>OVERHAUL KIT</t>
  </si>
  <si>
    <t>A73501809</t>
    <phoneticPr fontId="0" type="Hiragana"/>
  </si>
  <si>
    <t>Gas Ballast Adaptor Kit nXDS</t>
    <phoneticPr fontId="0" type="Hiragana"/>
  </si>
  <si>
    <t>A73501807</t>
  </si>
  <si>
    <t>Chemical Conversion Kit for nXDS 6,10,15</t>
    <phoneticPr fontId="0" type="Hiragana"/>
  </si>
  <si>
    <t>A73501806</t>
  </si>
  <si>
    <t>GAS BALLAST ADAPTOR BLANK KIT Pk1</t>
  </si>
  <si>
    <t>A73501803</t>
    <phoneticPr fontId="0" type="Hiragana"/>
  </si>
  <si>
    <t>NXDS EXHAUST &amp; GAS BALLAST KIT</t>
    <phoneticPr fontId="0" type="Hiragana"/>
  </si>
  <si>
    <t>A73501802</t>
    <phoneticPr fontId="0" type="Hiragana"/>
  </si>
  <si>
    <t>nXDS Bearing Replacement Kit</t>
  </si>
  <si>
    <t>A73501801</t>
    <phoneticPr fontId="0" type="Hiragana"/>
  </si>
  <si>
    <t>nXDS Tip Seal Service Kit</t>
  </si>
  <si>
    <t>A73501799</t>
  </si>
  <si>
    <t>NXDS Fan Cowl Beta Oval PK1</t>
  </si>
  <si>
    <t>A73501737</t>
    <phoneticPr fontId="0" type="Hiragana"/>
  </si>
  <si>
    <t>Blnkn Plg Mocap IsMF3/4Db PK20</t>
    <phoneticPr fontId="0" type="Hiragana"/>
  </si>
  <si>
    <t>A73501718</t>
  </si>
  <si>
    <t>Bellows PK1Bellows PK1</t>
    <phoneticPr fontId="0" type="Hiragana"/>
  </si>
  <si>
    <t>A73501710</t>
    <phoneticPr fontId="0" type="Hiragana"/>
  </si>
  <si>
    <t>NXDS HOUSING-STATOR ASSY KIT</t>
    <phoneticPr fontId="0" type="Hiragana"/>
  </si>
  <si>
    <t>A73501042</t>
  </si>
  <si>
    <t>Gas Ballast Valve Seat PK1</t>
    <phoneticPr fontId="0" type="Hiragana"/>
  </si>
  <si>
    <t>A73101801</t>
  </si>
  <si>
    <t>XDS46i Tip Seal and Exhaust Service Kit</t>
    <phoneticPr fontId="0" type="Hiragana"/>
  </si>
  <si>
    <t>A73001802</t>
  </si>
  <si>
    <t>General Service Kit XDS35i</t>
    <phoneticPr fontId="0" type="Hiragana"/>
  </si>
  <si>
    <t>A73001801</t>
  </si>
  <si>
    <t>Tip Seal and exhaust Kit XDS35i / XDS100</t>
  </si>
  <si>
    <t xml:space="preserve">A73001760 </t>
    <phoneticPr fontId="0" type="Hiragana"/>
  </si>
  <si>
    <t>O/S SHIM kit 2.385MM Pk10</t>
    <phoneticPr fontId="0" type="Hiragana"/>
  </si>
  <si>
    <t>A73001758</t>
    <phoneticPr fontId="0" type="Hiragana"/>
  </si>
  <si>
    <t>O/S SHIM kit 2.335MM Pk10</t>
    <phoneticPr fontId="0" type="Hiragana"/>
  </si>
  <si>
    <t>A73001724</t>
  </si>
  <si>
    <t>Counter Balance XDS35i</t>
    <phoneticPr fontId="0" type="Hiragana"/>
  </si>
  <si>
    <t>A73001722</t>
  </si>
  <si>
    <t>Bellows XDS35i</t>
    <phoneticPr fontId="0" type="Hiragana"/>
  </si>
  <si>
    <t>A73001707</t>
  </si>
  <si>
    <t>Fan Kit XDS35i</t>
    <phoneticPr fontId="0" type="Hiragana"/>
  </si>
  <si>
    <t>A72601842</t>
    <phoneticPr fontId="0" type="Hiragana"/>
  </si>
  <si>
    <t>Bearing Service Kit XDS10 PK5</t>
  </si>
  <si>
    <t>A72601823</t>
    <phoneticPr fontId="0" type="Hiragana"/>
  </si>
  <si>
    <t>XDS General Service Kit</t>
    <phoneticPr fontId="0" type="Hiragana"/>
  </si>
  <si>
    <t>A72601802</t>
  </si>
  <si>
    <t>Spares Kit Ballast XDS10</t>
    <phoneticPr fontId="0" type="Hiragana"/>
  </si>
  <si>
    <t>A72601800</t>
    <phoneticPr fontId="0" type="Hiragana"/>
  </si>
  <si>
    <t>Spares Kit Motor Relay XDS</t>
    <phoneticPr fontId="0" type="Hiragana"/>
  </si>
  <si>
    <t>A23303005</t>
    <phoneticPr fontId="0" type="Hiragana"/>
  </si>
  <si>
    <t>Drain End Cap 1 1/14" Bsp</t>
  </si>
  <si>
    <t>A26401718</t>
    <phoneticPr fontId="3" type="noConversion"/>
  </si>
  <si>
    <t>Rotor Driving EHb1200/Edd1200</t>
  </si>
  <si>
    <t>A26401719</t>
  </si>
  <si>
    <t>Rotor Driven   EHb1200/Edd1200</t>
  </si>
  <si>
    <t>A26401721</t>
  </si>
  <si>
    <t>Rotor Driven EH2600</t>
  </si>
  <si>
    <t>A26401722</t>
    <phoneticPr fontId="3" type="noConversion"/>
  </si>
  <si>
    <t>Rotor Driving EH4200</t>
  </si>
  <si>
    <t>A26401723</t>
  </si>
  <si>
    <t>Rotor Driven EH4200</t>
  </si>
  <si>
    <t>A28702021</t>
    <phoneticPr fontId="0" type="Hiragana"/>
  </si>
  <si>
    <t>Locking Ring Type 18003038</t>
  </si>
  <si>
    <t>A30551730</t>
    <phoneticPr fontId="3" type="noConversion"/>
  </si>
  <si>
    <t>Fluid Coupling Driver EHB1200 PK 1</t>
    <phoneticPr fontId="3" type="noConversion"/>
  </si>
  <si>
    <t>A30551731</t>
  </si>
  <si>
    <t>Fluid Coupling Driven EHb1200 PK 1</t>
  </si>
  <si>
    <t>A30551815</t>
  </si>
  <si>
    <t>Spares Kit Con C&amp;O EH/QMB1200</t>
  </si>
  <si>
    <t>A30551820</t>
  </si>
  <si>
    <t>Spares Kit Module  EH/QMB1200</t>
  </si>
  <si>
    <t>Cooling Coil Assy EH2600 Spare</t>
  </si>
  <si>
    <t>Fluid Coupling Driven Atex</t>
  </si>
  <si>
    <t>A30751815</t>
    <phoneticPr fontId="3" type="noConversion"/>
  </si>
  <si>
    <t>Spares Kit Con C&amp;O Eh/QMB26/4200</t>
  </si>
  <si>
    <t>A30751820</t>
    <phoneticPr fontId="3" type="noConversion"/>
  </si>
  <si>
    <t>Spares Kit Module EH/QMB26/4200</t>
    <phoneticPr fontId="3" type="noConversion"/>
  </si>
  <si>
    <t>Coupling Enclosure EH2600/4200</t>
  </si>
  <si>
    <t>A70401719</t>
    <phoneticPr fontId="3" type="noConversion"/>
  </si>
  <si>
    <t>Rotor Yl DP160</t>
  </si>
  <si>
    <t>A70501042</t>
    <phoneticPr fontId="0" type="Hiragana"/>
  </si>
  <si>
    <t>Dust Thrower LV Lh</t>
    <phoneticPr fontId="0" type="Hiragana"/>
  </si>
  <si>
    <t>A70501043</t>
  </si>
  <si>
    <t>Dust Thrower LV Rh</t>
  </si>
  <si>
    <t>A70501048</t>
    <phoneticPr fontId="0" type="Hiragana"/>
  </si>
  <si>
    <t>Oil Thrower HV Lh</t>
  </si>
  <si>
    <t>A70501049</t>
  </si>
  <si>
    <t>Oil Thrower HV Rh</t>
  </si>
  <si>
    <t>A70501084</t>
    <phoneticPr fontId="3" type="noConversion"/>
  </si>
  <si>
    <t>Bearing Cap</t>
    <phoneticPr fontId="3" type="noConversion"/>
  </si>
  <si>
    <t>A65501701</t>
    <phoneticPr fontId="0" type="Hiragana"/>
  </si>
  <si>
    <t>Spares Kit Rotor HV RV12</t>
    <phoneticPr fontId="0" type="Hiragana"/>
  </si>
  <si>
    <t>A65501700</t>
    <phoneticPr fontId="0" type="Hiragana"/>
  </si>
  <si>
    <t>Spares Kit Stator HV RV12</t>
    <phoneticPr fontId="0" type="Hiragana"/>
  </si>
  <si>
    <t>A65501130</t>
    <phoneticPr fontId="0" type="Hiragana"/>
  </si>
  <si>
    <t>Spares Kit Blade RV12</t>
    <phoneticPr fontId="0" type="Hiragana"/>
  </si>
  <si>
    <t>A65501017</t>
    <phoneticPr fontId="0" type="Hiragana"/>
  </si>
  <si>
    <t>Side Panel Logoside RV12</t>
  </si>
  <si>
    <t>A65401703</t>
    <phoneticPr fontId="0" type="Hiragana"/>
  </si>
  <si>
    <t>Spares Kit Rotor LV RV8/12</t>
    <phoneticPr fontId="0" type="Hiragana"/>
  </si>
  <si>
    <t>A65401702</t>
    <phoneticPr fontId="0" type="Hiragana"/>
  </si>
  <si>
    <t>Spares Kit Stator LV RV8/12</t>
    <phoneticPr fontId="0" type="Hiragana"/>
  </si>
  <si>
    <t>A65401130</t>
  </si>
  <si>
    <t>Spares Kit Blade RV8</t>
  </si>
  <si>
    <t>A65401017</t>
  </si>
  <si>
    <t>Side Panel Logoside RV8</t>
    <phoneticPr fontId="0" type="Hiragana"/>
  </si>
  <si>
    <t>A65301130</t>
    <phoneticPr fontId="3" type="noConversion"/>
  </si>
  <si>
    <t>Spares Kit Blade RV5</t>
    <phoneticPr fontId="3" type="noConversion"/>
  </si>
  <si>
    <t>A65299500</t>
  </si>
  <si>
    <t>RV3/5/8 &amp; 12 PUMP MOTOR KIT EUR/USA</t>
  </si>
  <si>
    <t>A65201704</t>
    <phoneticPr fontId="0" type="Hiragana"/>
  </si>
  <si>
    <t>Spares Kit End Cover RV</t>
    <phoneticPr fontId="0" type="Hiragana"/>
  </si>
  <si>
    <t>A65201136</t>
    <phoneticPr fontId="0" type="Hiragana"/>
  </si>
  <si>
    <t>Spares Kit Shaft Sleeve RV</t>
    <phoneticPr fontId="0" type="Hiragana"/>
  </si>
  <si>
    <t>A65201131</t>
    <phoneticPr fontId="0" type="Hiragana"/>
  </si>
  <si>
    <t>Clean &amp; Overhaul Kit RV (FKM)</t>
    <phoneticPr fontId="0" type="Hiragana"/>
  </si>
  <si>
    <t>A65201130</t>
    <phoneticPr fontId="3" type="noConversion"/>
  </si>
  <si>
    <t>Spares Kit Blade RV3</t>
    <phoneticPr fontId="3" type="noConversion"/>
  </si>
  <si>
    <t>A65201036</t>
    <phoneticPr fontId="3" type="noConversion"/>
  </si>
  <si>
    <t>Spares Kit Inlet Valve RV3/5/8/12</t>
    <phoneticPr fontId="0" type="Hiragana"/>
  </si>
  <si>
    <t>A65201019</t>
    <phoneticPr fontId="0" type="Hiragana"/>
  </si>
  <si>
    <t>Motor Ducting Sheet RV</t>
    <phoneticPr fontId="0" type="Hiragana"/>
  </si>
  <si>
    <t>A65201018</t>
  </si>
  <si>
    <t>Side Panel Mode Selector RV</t>
    <phoneticPr fontId="0" type="Hiragana"/>
  </si>
  <si>
    <t>A65201009</t>
    <phoneticPr fontId="0" type="Hiragana"/>
  </si>
  <si>
    <t>Mode Selector Assy RV</t>
    <phoneticPr fontId="0" type="Hiragana"/>
  </si>
  <si>
    <t>A65201008</t>
    <phoneticPr fontId="0" type="Hiragana"/>
  </si>
  <si>
    <t>Gas Ballast Control Assy RV</t>
    <phoneticPr fontId="0" type="Hiragana"/>
  </si>
  <si>
    <t>A65201007</t>
    <phoneticPr fontId="0" type="Hiragana"/>
  </si>
  <si>
    <t>Exhaust Flange Assy RV</t>
    <phoneticPr fontId="0" type="Hiragana"/>
  </si>
  <si>
    <t>A52844430</t>
    <phoneticPr fontId="0" type="Hiragana"/>
  </si>
  <si>
    <t>IM Interface MCM</t>
  </si>
  <si>
    <t>A52844413</t>
  </si>
  <si>
    <t>IM Applied Smart Interface TIM &amp; AIM#</t>
    <phoneticPr fontId="0" type="Hiragana"/>
  </si>
  <si>
    <t>A50795000</t>
  </si>
  <si>
    <t>MATNG HLF iXH450&amp;pXH HV&amp;LV</t>
  </si>
  <si>
    <t>A50793000</t>
  </si>
  <si>
    <t>IXH NW40 EX CHK VLV PK1</t>
    <phoneticPr fontId="0" type="Hiragana"/>
  </si>
  <si>
    <t>A50782000</t>
  </si>
  <si>
    <t>IXH EXHAUST CHECK VALVE</t>
  </si>
  <si>
    <t>A50746000</t>
  </si>
  <si>
    <t>IGX Check Valve &amp; Elbow Encl Kit Process</t>
  </si>
  <si>
    <t>A50744000</t>
    <phoneticPr fontId="0" type="Hiragana"/>
  </si>
  <si>
    <t>IGX Check Valve &amp; Elbow Kit Process</t>
    <phoneticPr fontId="0" type="Hiragana"/>
  </si>
  <si>
    <t>A50743000</t>
  </si>
  <si>
    <t>iGX Check Valve &amp; Elbow Kit Loadlock</t>
    <phoneticPr fontId="0" type="Hiragana"/>
  </si>
  <si>
    <t>A50722000</t>
  </si>
  <si>
    <t>3/8 ST ST Parker Str Quick Connects</t>
  </si>
  <si>
    <t>A50717000</t>
    <phoneticPr fontId="0" type="Hiragana"/>
  </si>
  <si>
    <t>1/4 ST ST Snaptite Str Quick Connect (iXL200)</t>
    <phoneticPr fontId="0" type="Hiragana"/>
  </si>
  <si>
    <t>A50597805</t>
  </si>
  <si>
    <t>XDS NW25 Inlet Outlet filter</t>
  </si>
  <si>
    <t>A50597802</t>
    <phoneticPr fontId="0" type="Hiragana"/>
  </si>
  <si>
    <t>XDS Filter 5 micron Element Kit</t>
    <phoneticPr fontId="0" type="Hiragana"/>
  </si>
  <si>
    <t>A50597000</t>
  </si>
  <si>
    <t>Silencer for nXDS and XDS5/10</t>
  </si>
  <si>
    <t>A50523000</t>
  </si>
  <si>
    <t>RV/EMF Gas Ballast Oil Return Kit</t>
    <phoneticPr fontId="0" type="Hiragana"/>
  </si>
  <si>
    <t>A50509000</t>
    <phoneticPr fontId="0" type="Hiragana"/>
  </si>
  <si>
    <t>3/4" BSP Nozzle Kit</t>
    <phoneticPr fontId="0" type="Hiragana"/>
  </si>
  <si>
    <t>A50420000</t>
    <phoneticPr fontId="0" type="Hiragana"/>
  </si>
  <si>
    <t>EM18 + 28/EMF Oil Return Kit</t>
    <phoneticPr fontId="0" type="Hiragana"/>
  </si>
  <si>
    <t>A50419000</t>
  </si>
  <si>
    <t>RV + EM/EMF Oil Return Kit</t>
  </si>
  <si>
    <t xml:space="preserve">A50005000 </t>
  </si>
  <si>
    <t>EM175+275/MF Oil Return</t>
  </si>
  <si>
    <t>A50001000</t>
    <phoneticPr fontId="0" type="Hiragana"/>
  </si>
  <si>
    <t>TCU300 THERMAL WATER VALVE</t>
    <phoneticPr fontId="0" type="Hiragana"/>
  </si>
  <si>
    <t>A46229000</t>
    <phoneticPr fontId="0" type="Hiragana"/>
  </si>
  <si>
    <t>EMF20 Oil Mist Filter NW25</t>
    <phoneticPr fontId="0" type="Hiragana"/>
  </si>
  <si>
    <t>A46226000</t>
    <phoneticPr fontId="0" type="Hiragana"/>
  </si>
  <si>
    <t>EMF10 Oil Mist Filter NW25</t>
    <phoneticPr fontId="0" type="Hiragana"/>
  </si>
  <si>
    <t>A46220000</t>
  </si>
  <si>
    <t>EMF3 Oil Mist Filter NW10</t>
    <phoneticPr fontId="0" type="Hiragana"/>
  </si>
  <si>
    <t>A46204800</t>
  </si>
  <si>
    <t>Spares Kit MF300</t>
  </si>
  <si>
    <t>A44003000</t>
  </si>
  <si>
    <t>CHEK VALVE ASSY(PACKED)</t>
  </si>
  <si>
    <t>A37301731</t>
  </si>
  <si>
    <t>LV Stator E2M28</t>
    <phoneticPr fontId="0" type="Hiragana"/>
  </si>
  <si>
    <t>A37301730</t>
    <phoneticPr fontId="0" type="Hiragana"/>
  </si>
  <si>
    <t>HV Stator E2M28/E2M30</t>
    <phoneticPr fontId="0" type="Hiragana"/>
  </si>
  <si>
    <t>A37301135</t>
  </si>
  <si>
    <t>Blade Kit E2M28/30</t>
  </si>
  <si>
    <t>A37301131</t>
    <phoneticPr fontId="0" type="Hiragana"/>
  </si>
  <si>
    <t>Clean &amp; Overhaul Kit E2M28/30</t>
    <phoneticPr fontId="0" type="Hiragana"/>
  </si>
  <si>
    <t>A37101132</t>
    <phoneticPr fontId="0" type="Hiragana"/>
  </si>
  <si>
    <t>Spares Kit Blade E2M0.7/1.5</t>
    <phoneticPr fontId="0" type="Hiragana"/>
  </si>
  <si>
    <t>A37101131</t>
  </si>
  <si>
    <t>Clean and overhaul kit E2M0.7/1.5/2.5</t>
  </si>
  <si>
    <t>A36721002</t>
    <phoneticPr fontId="0" type="Hiragana"/>
  </si>
  <si>
    <t>Cooling Coil</t>
  </si>
  <si>
    <t>A36701831</t>
    <phoneticPr fontId="0" type="Hiragana"/>
  </si>
  <si>
    <t>Spares Kit Major  E2M275S</t>
    <phoneticPr fontId="0" type="Hiragana"/>
  </si>
  <si>
    <t>A36701064</t>
  </si>
  <si>
    <t>SIDE PANEL RH 275 TWO STAGE</t>
  </si>
  <si>
    <t>A36701063</t>
  </si>
  <si>
    <t>SIDE PANEL LH 275 TWO STAGE</t>
    <phoneticPr fontId="0" type="Hiragana"/>
  </si>
  <si>
    <t>A36701026</t>
    <phoneticPr fontId="0" type="Hiragana"/>
  </si>
  <si>
    <t>HV STATOR E2M 275</t>
  </si>
  <si>
    <t>A36615002</t>
    <phoneticPr fontId="0" type="Hiragana"/>
  </si>
  <si>
    <t>Filter Head E2M175/275</t>
    <phoneticPr fontId="0" type="Hiragana"/>
  </si>
  <si>
    <t>A36601730</t>
  </si>
  <si>
    <t>REAR COVER E2M 175/275 PK 1</t>
    <phoneticPr fontId="0" type="Hiragana"/>
  </si>
  <si>
    <t>A36601134</t>
    <phoneticPr fontId="0" type="Hiragana"/>
  </si>
  <si>
    <t>Spares Kit Blade E2M175S</t>
    <phoneticPr fontId="0" type="Hiragana"/>
  </si>
  <si>
    <t>A36601131</t>
  </si>
  <si>
    <t>Spares Kit C&amp;O E2M175/275S</t>
  </si>
  <si>
    <t>A36601003</t>
    <phoneticPr fontId="0" type="Hiragana"/>
  </si>
  <si>
    <t>Oil Tube Assy</t>
  </si>
  <si>
    <t xml:space="preserve">A36501814 </t>
  </si>
  <si>
    <t>Kit Major E2M80</t>
  </si>
  <si>
    <t>A36501050</t>
    <phoneticPr fontId="0" type="Hiragana"/>
  </si>
  <si>
    <t>Blade Kit E2M80</t>
    <phoneticPr fontId="0" type="Hiragana"/>
  </si>
  <si>
    <t>A36315756</t>
  </si>
  <si>
    <t>SPR MTR Kit EM18/28 750W</t>
  </si>
  <si>
    <t>A36301131</t>
  </si>
  <si>
    <t>Clean &amp; Overhaul Kit E1M18/E2M18</t>
  </si>
  <si>
    <t>A36301020</t>
    <phoneticPr fontId="0" type="Hiragana"/>
  </si>
  <si>
    <t>Spares Kit Blade E2M18</t>
    <phoneticPr fontId="0" type="Hiragana"/>
  </si>
  <si>
    <t>A34701008</t>
  </si>
  <si>
    <t>Cooling Coil Assy E1M/E2M275</t>
    <phoneticPr fontId="0" type="Hiragana"/>
  </si>
  <si>
    <t>A34621002</t>
    <phoneticPr fontId="0" type="Hiragana"/>
  </si>
  <si>
    <t>COOLING COIL ASSEMBLY</t>
    <phoneticPr fontId="0" type="Hiragana"/>
  </si>
  <si>
    <t>A34601708</t>
    <phoneticPr fontId="0" type="Hiragana"/>
  </si>
  <si>
    <t>COOLING COIL ASSY E1/E2M175</t>
    <phoneticPr fontId="0" type="Hiragana"/>
  </si>
  <si>
    <t>A34601061</t>
    <phoneticPr fontId="0" type="Hiragana"/>
  </si>
  <si>
    <t>SPRING CLAMP E2M 175/275</t>
  </si>
  <si>
    <t>A34601060</t>
    <phoneticPr fontId="0" type="Hiragana"/>
  </si>
  <si>
    <t>Filter Adaptor  E1M/E2M 175</t>
    <phoneticPr fontId="0" type="Hiragana"/>
  </si>
  <si>
    <t>A34601050</t>
  </si>
  <si>
    <t>Sight Glass Conn. E1/E2M 275</t>
  </si>
  <si>
    <t>A34310017</t>
    <phoneticPr fontId="0" type="Hiragana"/>
  </si>
  <si>
    <t>Side Panel White E1/2M18</t>
    <phoneticPr fontId="0" type="Hiragana"/>
  </si>
  <si>
    <t>A34301041</t>
    <phoneticPr fontId="0" type="Hiragana"/>
  </si>
  <si>
    <t>Blade Kit E1M18</t>
    <phoneticPr fontId="0" type="Hiragana"/>
  </si>
  <si>
    <t>A31101025</t>
    <phoneticPr fontId="0" type="Hiragana"/>
  </si>
  <si>
    <t>Coupling Nema 25Hp Motor</t>
    <phoneticPr fontId="0" type="Hiragana"/>
  </si>
  <si>
    <t xml:space="preserve">A30951702 </t>
    <phoneticPr fontId="3" type="noConversion"/>
  </si>
  <si>
    <t>Intercooler Assy EH4200 Spare</t>
  </si>
  <si>
    <t>A70501712</t>
  </si>
  <si>
    <t>Headplate LV GV/Chemical</t>
  </si>
  <si>
    <t>A30752005</t>
    <phoneticPr fontId="0" type="Hiragana"/>
  </si>
  <si>
    <t>Coupling Enclosure 60Hz H/C</t>
    <phoneticPr fontId="0" type="Hiragana"/>
  </si>
  <si>
    <t>A70501718</t>
  </si>
  <si>
    <t>Rotor Xl DP/GV250/400</t>
  </si>
  <si>
    <t>A30751810</t>
  </si>
  <si>
    <t>Spares Kit Pre-Con C&amp;O Eh/QMB26/4200</t>
    <phoneticPr fontId="3" type="noConversion"/>
  </si>
  <si>
    <t xml:space="preserve">A70501719 </t>
  </si>
  <si>
    <t>Rotor Yl DP/GV250/400</t>
  </si>
  <si>
    <t>A70501720</t>
    <phoneticPr fontId="3" type="noConversion"/>
  </si>
  <si>
    <t>Rotor XM DP/GV250/400</t>
    <phoneticPr fontId="0" type="Hiragana"/>
  </si>
  <si>
    <t>A30751711</t>
    <phoneticPr fontId="3" type="noConversion"/>
  </si>
  <si>
    <t>Cool Coil Assy EH4200 Spares</t>
  </si>
  <si>
    <t>A30751710</t>
    <phoneticPr fontId="3" type="noConversion"/>
  </si>
  <si>
    <t>Cooling Coil EH2600/4200 PK1</t>
  </si>
  <si>
    <t>A70501721</t>
  </si>
  <si>
    <t>Rotor YM DP/GV250/400</t>
  </si>
  <si>
    <t>A30751031</t>
    <phoneticPr fontId="0" type="Hiragana"/>
  </si>
  <si>
    <t>Fluid Coupling Driven EH2600</t>
  </si>
  <si>
    <t>A30751030</t>
    <phoneticPr fontId="0" type="Hiragana"/>
  </si>
  <si>
    <t>FLUID COUPLING DRIVER</t>
  </si>
  <si>
    <t>A70501722</t>
  </si>
  <si>
    <t>Rotor XH DP/GV250/400</t>
  </si>
  <si>
    <t>A70501723</t>
  </si>
  <si>
    <t>Rotor YH DP/GV250/400</t>
  </si>
  <si>
    <t>A30551810</t>
    <phoneticPr fontId="0" type="Hiragana"/>
  </si>
  <si>
    <t>Spares Kit Pre-Con C&amp;O EH/QMB1200</t>
  </si>
  <si>
    <t>A70501730</t>
    <phoneticPr fontId="3" type="noConversion"/>
  </si>
  <si>
    <t>Shaft X (Driving) Dp250/EDP200</t>
  </si>
  <si>
    <t>A29201704</t>
    <phoneticPr fontId="3" type="noConversion"/>
  </si>
  <si>
    <t>Sight Glass Pk20</t>
  </si>
  <si>
    <t>A29201018</t>
    <phoneticPr fontId="0" type="Hiragana"/>
  </si>
  <si>
    <t>Sight Glass RV E2M18/28/30</t>
    <phoneticPr fontId="0" type="Hiragana"/>
  </si>
  <si>
    <t>A70501731</t>
    <phoneticPr fontId="3" type="noConversion"/>
  </si>
  <si>
    <t>Shaft Y (Driven)Dp250/EDP200</t>
  </si>
  <si>
    <t>A27160707</t>
  </si>
  <si>
    <t>Top Plate Gasket PK1</t>
  </si>
  <si>
    <t>Seal Carrier Gasket</t>
    <phoneticPr fontId="0" type="Hiragana"/>
  </si>
  <si>
    <t>A27160006</t>
  </si>
  <si>
    <t>Printed Gasket Cartridge RV</t>
  </si>
  <si>
    <t>A27160005</t>
    <phoneticPr fontId="0" type="Hiragana"/>
  </si>
  <si>
    <t>Oil Box Printed Gasket RV</t>
    <phoneticPr fontId="0" type="Hiragana"/>
  </si>
  <si>
    <t>A27159536</t>
    <phoneticPr fontId="0" type="Hiragana"/>
  </si>
  <si>
    <t>Seal EMF3</t>
    <phoneticPr fontId="0" type="Hiragana"/>
  </si>
  <si>
    <t>A27159535</t>
    <phoneticPr fontId="0" type="Hiragana"/>
  </si>
  <si>
    <t>Seal EMF10 Mist Filter</t>
  </si>
  <si>
    <t>A27159534</t>
    <phoneticPr fontId="0" type="Hiragana"/>
  </si>
  <si>
    <t>Seal EMF20 Middle</t>
    <phoneticPr fontId="0" type="Hiragana"/>
  </si>
  <si>
    <t>A27102022</t>
    <phoneticPr fontId="0" type="Hiragana"/>
  </si>
  <si>
    <t>SPRING ST/STL</t>
  </si>
  <si>
    <t>A27102019</t>
    <phoneticPr fontId="0" type="Hiragana"/>
  </si>
  <si>
    <t>SPRING</t>
  </si>
  <si>
    <t>A26501017</t>
    <phoneticPr fontId="0" type="Hiragana"/>
  </si>
  <si>
    <t>Valve Button</t>
    <phoneticPr fontId="0" type="Hiragana"/>
  </si>
  <si>
    <t>A26401781</t>
    <phoneticPr fontId="0" type="Hiragana"/>
  </si>
  <si>
    <t>Rotor E1M80/E2M80 Pk1</t>
    <phoneticPr fontId="0" type="Hiragana"/>
  </si>
  <si>
    <t>A26401777</t>
    <phoneticPr fontId="3" type="noConversion"/>
  </si>
  <si>
    <t>LV Rotor E2M175/275</t>
  </si>
  <si>
    <t>A26401771</t>
  </si>
  <si>
    <t>LV Rotor E2M28/30</t>
    <phoneticPr fontId="0" type="Hiragana"/>
  </si>
  <si>
    <t>A26401746</t>
    <phoneticPr fontId="0" type="Hiragana"/>
  </si>
  <si>
    <t>Rotor E2M18</t>
    <phoneticPr fontId="0" type="Hiragana"/>
  </si>
  <si>
    <t>A70501826</t>
    <phoneticPr fontId="3" type="noConversion"/>
  </si>
  <si>
    <t>Spares Kit Upper Bearing DP</t>
  </si>
  <si>
    <t>A70501827</t>
  </si>
  <si>
    <t>Spares Kit Swept Volume DP</t>
  </si>
  <si>
    <t>A70501828</t>
  </si>
  <si>
    <t>Spares Kit Lower Bearing DP</t>
    <phoneticPr fontId="3" type="noConversion"/>
  </si>
  <si>
    <t>A70501832</t>
    <phoneticPr fontId="3" type="noConversion"/>
  </si>
  <si>
    <t>Swing PRV Chemical</t>
    <phoneticPr fontId="3" type="noConversion"/>
  </si>
  <si>
    <t>A70501833</t>
    <phoneticPr fontId="0" type="Hiragana"/>
  </si>
  <si>
    <t>Spares Kit Swing PRV Overhaul Chemical</t>
  </si>
  <si>
    <t>A70601714</t>
    <phoneticPr fontId="3" type="noConversion"/>
  </si>
  <si>
    <t>Stator Ms DP300/400 GV400/600</t>
  </si>
  <si>
    <t>A26401075</t>
    <phoneticPr fontId="0" type="Hiragana"/>
  </si>
  <si>
    <t>HV ROTOR ASSY E1/E2M 275</t>
    <phoneticPr fontId="0" type="Hiragana"/>
  </si>
  <si>
    <t>A26401073</t>
    <phoneticPr fontId="0" type="Hiragana"/>
  </si>
  <si>
    <t>HV Rotor E2M28/30</t>
    <phoneticPr fontId="0" type="Hiragana"/>
  </si>
  <si>
    <t>A26401058</t>
    <phoneticPr fontId="0" type="Hiragana"/>
  </si>
  <si>
    <t>A26002030</t>
    <phoneticPr fontId="0" type="Hiragana"/>
  </si>
  <si>
    <t>Blanking Plug 1/4" BSP</t>
  </si>
  <si>
    <t>A26002027</t>
    <phoneticPr fontId="0" type="Hiragana"/>
  </si>
  <si>
    <t>Plug 1/8"BSP</t>
  </si>
  <si>
    <t>A26002021</t>
    <phoneticPr fontId="0" type="Hiragana"/>
  </si>
  <si>
    <t>1/2" Gas Plug 175/275</t>
  </si>
  <si>
    <t>A25976701</t>
    <phoneticPr fontId="3" type="noConversion"/>
  </si>
  <si>
    <t>Sight Glass Reflector Pk20</t>
  </si>
  <si>
    <t>A25976001</t>
    <phoneticPr fontId="3" type="noConversion"/>
  </si>
  <si>
    <t>Sight Glass Reflector</t>
  </si>
  <si>
    <t>A25908171</t>
    <phoneticPr fontId="0" type="Hiragana"/>
  </si>
  <si>
    <t>Gas Ballast Knob Grey</t>
    <phoneticPr fontId="0" type="Hiragana"/>
  </si>
  <si>
    <t>A25908119</t>
    <phoneticPr fontId="0" type="Hiragana"/>
  </si>
  <si>
    <t>Oil Drain Plug RV</t>
    <phoneticPr fontId="0" type="Hiragana"/>
  </si>
  <si>
    <t>Oil Filler Plug RV</t>
    <phoneticPr fontId="3" type="noConversion"/>
  </si>
  <si>
    <t>A25908100</t>
    <phoneticPr fontId="3" type="noConversion"/>
  </si>
  <si>
    <t>Sight Glass Bezel</t>
  </si>
  <si>
    <t>A25908064</t>
    <phoneticPr fontId="0" type="Hiragana"/>
  </si>
  <si>
    <t>Adaptor NW10x3/8 BSP N6B 50% B</t>
    <phoneticPr fontId="0" type="Hiragana"/>
  </si>
  <si>
    <t>A25908056</t>
    <phoneticPr fontId="0" type="Hiragana"/>
  </si>
  <si>
    <t>Fan For EM18/28 Nylon</t>
    <phoneticPr fontId="0" type="Hiragana"/>
  </si>
  <si>
    <t>A24801441</t>
    <phoneticPr fontId="0" type="Hiragana"/>
  </si>
  <si>
    <t>nXDS Vibration Isolator Kit (PK4)</t>
    <phoneticPr fontId="0" type="Hiragana"/>
  </si>
  <si>
    <t>A24801412</t>
    <phoneticPr fontId="0" type="Hiragana"/>
  </si>
  <si>
    <t>Vibration Isolators Set Of 4 Fits E2M28</t>
    <phoneticPr fontId="0" type="Hiragana"/>
  </si>
  <si>
    <t>A24801404</t>
    <phoneticPr fontId="0" type="Hiragana"/>
  </si>
  <si>
    <t>Vibration Isolators Pk4</t>
    <phoneticPr fontId="0" type="Hiragana"/>
  </si>
  <si>
    <t>A70601715</t>
    <phoneticPr fontId="3" type="noConversion"/>
  </si>
  <si>
    <t>Stator HV 50Hz DP400 GV400/600</t>
  </si>
  <si>
    <t>A22906001</t>
    <phoneticPr fontId="0" type="Hiragana"/>
  </si>
  <si>
    <t>Oil Filter Gauge E2M175/275</t>
  </si>
  <si>
    <t>A70702722</t>
    <phoneticPr fontId="3" type="noConversion"/>
  </si>
  <si>
    <t>Rotor HV 60Hz GV400 DP300</t>
  </si>
  <si>
    <t>D1G1021100</t>
    <phoneticPr fontId="3" type="noConversion"/>
  </si>
  <si>
    <t>APG200 - XM-NW25</t>
    <phoneticPr fontId="0" type="Hiragana"/>
  </si>
  <si>
    <t>D35736000</t>
    <phoneticPr fontId="3" type="noConversion"/>
  </si>
  <si>
    <t>ASG2 NW16 1000 mbar</t>
    <phoneticPr fontId="3" type="noConversion"/>
  </si>
  <si>
    <t>D39590000</t>
    <phoneticPr fontId="0" type="Hiragana"/>
  </si>
  <si>
    <t>ADC Standard 1 Head</t>
    <phoneticPr fontId="0" type="Hiragana"/>
  </si>
  <si>
    <t>D39591500</t>
    <phoneticPr fontId="0" type="Hiragana"/>
  </si>
  <si>
    <t>ADC Enhanced MkII Gauge Controller</t>
    <phoneticPr fontId="0" type="Hiragana"/>
  </si>
  <si>
    <t>A22304199</t>
    <phoneticPr fontId="0" type="Hiragana"/>
  </si>
  <si>
    <t>A22304198</t>
    <phoneticPr fontId="0" type="Hiragana"/>
  </si>
  <si>
    <t>A22304197</t>
    <phoneticPr fontId="0" type="Hiragana"/>
  </si>
  <si>
    <t>Oil Mist Element EMF3</t>
  </si>
  <si>
    <t>A22304081</t>
    <phoneticPr fontId="0" type="Hiragana"/>
  </si>
  <si>
    <t>Odour Removal Element EMF3 Pk5</t>
  </si>
  <si>
    <t>A22304079</t>
    <phoneticPr fontId="0" type="Hiragana"/>
  </si>
  <si>
    <t>Odour Removal Element EMF10 PK5</t>
  </si>
  <si>
    <t>A22304077</t>
    <phoneticPr fontId="0" type="Hiragana"/>
  </si>
  <si>
    <t>Odour Removal Element EMF20 PK5</t>
  </si>
  <si>
    <t>A22304052</t>
    <phoneticPr fontId="0" type="Hiragana"/>
  </si>
  <si>
    <t>MF 100 CR Filter Element</t>
    <phoneticPr fontId="0" type="Hiragana"/>
  </si>
  <si>
    <t>A22304041</t>
  </si>
  <si>
    <t>A22304032</t>
    <phoneticPr fontId="0" type="Hiragana"/>
  </si>
  <si>
    <t>Internal Oil Filter E1M175/E2M275</t>
    <phoneticPr fontId="0" type="Hiragana"/>
  </si>
  <si>
    <t>A22304021</t>
  </si>
  <si>
    <t>Filter Element MF300 Pk1</t>
  </si>
  <si>
    <t>A22304020</t>
  </si>
  <si>
    <t>Filter Element MF100</t>
    <phoneticPr fontId="0" type="Hiragana"/>
  </si>
  <si>
    <t>A21918715</t>
    <phoneticPr fontId="0" type="Hiragana"/>
  </si>
  <si>
    <t>Inverter XDS35i</t>
    <phoneticPr fontId="0" type="Hiragana"/>
  </si>
  <si>
    <t>A21078002</t>
  </si>
  <si>
    <t>A21071746</t>
  </si>
  <si>
    <t>Coupling Boss For E2M28 PK1</t>
    <phoneticPr fontId="0" type="Hiragana"/>
  </si>
  <si>
    <t>A21071072</t>
  </si>
  <si>
    <t>TAPER LOCK BUSH</t>
    <phoneticPr fontId="0" type="Hiragana"/>
  </si>
  <si>
    <t>A21071071</t>
  </si>
  <si>
    <t>HRC COUPLING 045P0002002</t>
    <phoneticPr fontId="0" type="Hiragana"/>
  </si>
  <si>
    <t>A21071030</t>
  </si>
  <si>
    <t>FLEXIBLE COUPLING ELEMENT</t>
    <phoneticPr fontId="0" type="Hiragana"/>
  </si>
  <si>
    <t>A20416707</t>
    <phoneticPr fontId="3" type="noConversion"/>
  </si>
  <si>
    <t>S/SCRND SIGHT GLASS BEZEL PK20</t>
  </si>
  <si>
    <t>A20405024</t>
  </si>
  <si>
    <t>Inner Ring</t>
  </si>
  <si>
    <t>A20402418</t>
    <phoneticPr fontId="0" type="Hiragana"/>
  </si>
  <si>
    <t>OIL PUMP BLADE</t>
    <phoneticPr fontId="0" type="Hiragana"/>
  </si>
  <si>
    <t>A07199758</t>
    <phoneticPr fontId="0" type="Hiragana"/>
  </si>
  <si>
    <t>Motor Shaft Ext Hard E2M1.5 PK1</t>
    <phoneticPr fontId="0" type="Hiragana"/>
  </si>
  <si>
    <t>A07105062</t>
  </si>
  <si>
    <t>MOTOR KIT E2M1/1.5 200-230 IEC</t>
    <phoneticPr fontId="0" type="Hiragana"/>
  </si>
  <si>
    <t>A07105056</t>
    <phoneticPr fontId="0" type="Hiragana"/>
  </si>
  <si>
    <t>Motor Kit E2M1.0/1.5 220/240V</t>
    <phoneticPr fontId="0" type="Hiragana"/>
  </si>
  <si>
    <t>A01601105</t>
    <phoneticPr fontId="0" type="Hiragana"/>
  </si>
  <si>
    <t>1/4 Bsp Banjo Bolt No 3703</t>
    <phoneticPr fontId="0" type="Hiragana"/>
  </si>
  <si>
    <t>A01601089</t>
    <phoneticPr fontId="0" type="Hiragana"/>
  </si>
  <si>
    <t>Sight Glass</t>
  </si>
  <si>
    <t>A00906058</t>
    <phoneticPr fontId="0" type="Hiragana"/>
  </si>
  <si>
    <t>Oil Sight Glass End Cap</t>
  </si>
  <si>
    <t>419-699-001</t>
  </si>
  <si>
    <t>Oil V Lube "H" - 5 Gal</t>
  </si>
  <si>
    <t>H03517063</t>
  </si>
  <si>
    <t>Flow Indicator 1/2" Bsp</t>
  </si>
  <si>
    <t>22491-008</t>
    <phoneticPr fontId="0" type="Hiragana"/>
  </si>
  <si>
    <t>BRASS SENSOR POCKET}#993N3569</t>
    <phoneticPr fontId="0" type="Hiragana"/>
  </si>
  <si>
    <t>H03517064</t>
  </si>
  <si>
    <t>Flow Indicator 1/4" Bsp</t>
  </si>
  <si>
    <t>211813197</t>
    <phoneticPr fontId="0" type="Hiragana"/>
  </si>
  <si>
    <t>WASHER 2BA LARGE ST/SL</t>
  </si>
  <si>
    <t>085-052-264</t>
  </si>
  <si>
    <t>Filter Element Glass/Steel 412J</t>
  </si>
  <si>
    <t>085-050-129</t>
  </si>
  <si>
    <t>Solenoid Valve 2Way NC 7/16" Orifice</t>
    <phoneticPr fontId="0" type="Hiragana"/>
  </si>
  <si>
    <t>085-040-199</t>
  </si>
  <si>
    <t>O Ring 1 1/8" ID X .070" Section</t>
  </si>
  <si>
    <t>085-040-198</t>
  </si>
  <si>
    <t>Oil Seal 1.375" ID X 1.875" OD</t>
  </si>
  <si>
    <t>085-040-116</t>
  </si>
  <si>
    <t>Oil Seal 1 3/8" ID X 1 7/8" OD</t>
  </si>
  <si>
    <t>085-029-430</t>
  </si>
  <si>
    <t>Solenoid Coil 220/440V 50/60Hz 12W</t>
  </si>
  <si>
    <t>H03524178</t>
    <phoneticPr fontId="0" type="Hiragana"/>
  </si>
  <si>
    <t>MALE CONN. 1/4"TUBE-1/8BSPT MPK5</t>
  </si>
  <si>
    <t>WASHER 2BA LARGE ST/SL</t>
    <phoneticPr fontId="3" type="noConversion"/>
  </si>
  <si>
    <t>PT21QQ006</t>
    <phoneticPr fontId="3" type="noConversion"/>
  </si>
  <si>
    <t>H01900022</t>
    <phoneticPr fontId="3" type="noConversion"/>
  </si>
  <si>
    <t>A71205550</t>
    <phoneticPr fontId="3" type="noConversion"/>
  </si>
  <si>
    <t>A27160008</t>
    <phoneticPr fontId="3" type="noConversion"/>
  </si>
  <si>
    <t>A25908118</t>
    <phoneticPr fontId="3" type="noConversion"/>
  </si>
  <si>
    <t>900200-009</t>
    <phoneticPr fontId="3" type="noConversion"/>
  </si>
  <si>
    <t>Oil Mist Element EMF20</t>
    <phoneticPr fontId="3" type="noConversion"/>
  </si>
  <si>
    <t>Oil Mist Element EMF10</t>
    <phoneticPr fontId="3" type="noConversion"/>
  </si>
  <si>
    <t>Price</t>
    <phoneticPr fontId="3" type="noConversion"/>
  </si>
  <si>
    <t>A37141919</t>
  </si>
  <si>
    <t>E2M0.7 200-230V 50/60HZ IEC</t>
  </si>
  <si>
    <t>A37132919</t>
  </si>
  <si>
    <t>E2M1.5 200-230V 50/60HZ IEC</t>
  </si>
  <si>
    <t>A36317984</t>
  </si>
  <si>
    <t>E2M18 115V/200-230V 1PH 50/60Hz</t>
  </si>
  <si>
    <t>A36310905</t>
  </si>
  <si>
    <t>E2M18 3PH IE2 HI VOLT</t>
  </si>
  <si>
    <t>A36310925</t>
  </si>
  <si>
    <t>E2M18 3PH IE2 LO VOLT</t>
  </si>
  <si>
    <t>A36321905</t>
  </si>
  <si>
    <t>E2M18FX 3PH IE2 HI VOLT</t>
  </si>
  <si>
    <t>A36321925</t>
  </si>
  <si>
    <t>E2M18FX 3PH IE2 LO VOLT</t>
  </si>
  <si>
    <t>A37317984</t>
  </si>
  <si>
    <t>E2M28 115V/200-230V 1PH 50/60Hz</t>
  </si>
  <si>
    <t>A37325984</t>
  </si>
  <si>
    <t>E2M28FX 115/200-230V 1PH 50/60Hz</t>
  </si>
  <si>
    <t>A37333934</t>
  </si>
  <si>
    <t>E2M28 HC 3PH IE3 ASIA 50/60HZ</t>
  </si>
  <si>
    <t>A37333940</t>
  </si>
  <si>
    <t>E2M28 HC 3PH IE3 EU/US 50/60HZ 380-400V</t>
  </si>
  <si>
    <t>A37343934</t>
  </si>
  <si>
    <t>E2M28 FX 3PH IE3 ASIA 50/60HZ</t>
  </si>
  <si>
    <t>A37343940</t>
  </si>
  <si>
    <t>E2M28 FX 3PH IE3 EU/US 50/60HZ</t>
  </si>
  <si>
    <t>A13305000</t>
  </si>
  <si>
    <t>FL20K Foreline Trap</t>
  </si>
  <si>
    <t>A44110000</t>
  </si>
  <si>
    <t>ITO20K Inlet Catchpot</t>
  </si>
  <si>
    <t>A44215000</t>
  </si>
  <si>
    <t>ITF20K Inlet Dust Filter</t>
  </si>
  <si>
    <t>A44410000</t>
  </si>
  <si>
    <t>ITC20K Inlet Chemical Trap</t>
  </si>
  <si>
    <t>EMF3 Oil Mist Filter NW10</t>
  </si>
  <si>
    <t>A46226000</t>
  </si>
  <si>
    <t>EMF10 Oil Mist Filter NW25</t>
  </si>
  <si>
    <t>A46229000</t>
  </si>
  <si>
    <t>EMF20 Oil Mist Filter NW25</t>
  </si>
  <si>
    <t>A46233000</t>
  </si>
  <si>
    <t>MF30 Outlet Mist Filter Fits E2M28</t>
  </si>
  <si>
    <t>A65201903</t>
  </si>
  <si>
    <t>RV3 115/230V 1Ph 50/60Hz Set 230V</t>
  </si>
  <si>
    <t>A65301903</t>
  </si>
  <si>
    <t>RV5 115/230V 1PH 50/60Hz Set 230V</t>
  </si>
  <si>
    <t>A65401903</t>
  </si>
  <si>
    <t>RV8 115/230V 1PH 50/60Hz Set 230V</t>
  </si>
  <si>
    <t>A65501903</t>
  </si>
  <si>
    <t>RV12 115/230V 1PH 50/60Hz Set 230V</t>
  </si>
  <si>
    <t>A65422905</t>
  </si>
  <si>
    <t>RV8 3PH IE2 HI VOLT</t>
  </si>
  <si>
    <t>A65422925</t>
  </si>
  <si>
    <t>RV8 3PH IE2 LO VOLT</t>
  </si>
  <si>
    <t>A65522905</t>
  </si>
  <si>
    <t>RV12 3PH IE2 HI VOLT</t>
  </si>
  <si>
    <t>A65522925</t>
  </si>
  <si>
    <t>RV12 3PH IE2 LO VOLT</t>
  </si>
  <si>
    <t>A65209903</t>
  </si>
  <si>
    <t>RV3FX 115/230V 1PH 50/60Hz Set 230V</t>
  </si>
  <si>
    <t>A65309904</t>
  </si>
  <si>
    <t>RV5FX 100/200V 1PH 50/60Hz Set 200V</t>
  </si>
  <si>
    <t>A65409903</t>
  </si>
  <si>
    <t>RV8FX 115/230V 1PH 50/60Hz Set 230V</t>
  </si>
  <si>
    <t>A65429905</t>
  </si>
  <si>
    <t>RV8FX 3PH IE2 HI VOLT</t>
  </si>
  <si>
    <t>A65429925</t>
  </si>
  <si>
    <t>RV8FX 3PH IE2 LO VOLT</t>
  </si>
  <si>
    <t>A65509903</t>
  </si>
  <si>
    <t>RV12FX 115/230V 1PH 50/60Hz Set 230V</t>
  </si>
  <si>
    <t>A65529905</t>
  </si>
  <si>
    <t>RV12FX 3PH IE2 HI VOLT</t>
  </si>
  <si>
    <t>A65529925</t>
  </si>
  <si>
    <t>RV12FX 3PH IE2 LO VOLT</t>
  </si>
  <si>
    <t>A74401903</t>
  </si>
  <si>
    <t>mXDS3 230V 1ph 50/60Hz (Standard)</t>
  </si>
  <si>
    <t>A74401904</t>
  </si>
  <si>
    <t>mXDS3 200V 1ph 50/60Hz (Standard)</t>
  </si>
  <si>
    <t>A74402903</t>
  </si>
  <si>
    <t>mXDS3s 230V 1ph 50/60Hz (Configured)</t>
  </si>
  <si>
    <t>A74402904</t>
  </si>
  <si>
    <t>mXDS3s 200V 1ph 50/60Hz (Configured)</t>
  </si>
  <si>
    <t>A73501809</t>
  </si>
  <si>
    <t>Gas Ballast Adaptor Kit nXDS</t>
  </si>
  <si>
    <t>A73501811</t>
  </si>
  <si>
    <t>Gas Ballast Adaptor Kit nXDS No Restrict</t>
  </si>
  <si>
    <t>A73501983</t>
  </si>
  <si>
    <t>nXDS6i 100-127/200-240V 1ph 50/60Hz</t>
  </si>
  <si>
    <t>A73601983</t>
  </si>
  <si>
    <t>nXDS10i 100-127/200-240V 1ph 50/60Hz</t>
  </si>
  <si>
    <t>A73701983</t>
  </si>
  <si>
    <t>nXDS15i 100-127/200-240V 1ph 50/60Hz</t>
  </si>
  <si>
    <t>A73801983</t>
  </si>
  <si>
    <t>nXDS20i 100-127/200-240V 1ph 50/60Hz</t>
  </si>
  <si>
    <t>A73502983</t>
  </si>
  <si>
    <t>nXDS6iC 100-127/200-240V 1ph 50/60Hz</t>
  </si>
  <si>
    <t>A73602983</t>
  </si>
  <si>
    <t>nXDS10iC 100-127/200-240V 1ph 50/60Hz</t>
  </si>
  <si>
    <t>A73702983</t>
  </si>
  <si>
    <t>nXDS15iC 100-127/200-240V 1ph 50/60Hz</t>
  </si>
  <si>
    <t>A73802983</t>
  </si>
  <si>
    <t>nXDS20iC 100-127/200-240V 1ph 50/60Hz</t>
  </si>
  <si>
    <t>A73503983</t>
  </si>
  <si>
    <t>nXDS6iR 100-127/200-240V 1ph 50/60Hz</t>
  </si>
  <si>
    <t>A73603983</t>
  </si>
  <si>
    <t>nXDS10iR 100-127/200-240V 1ph 50/60Hz</t>
  </si>
  <si>
    <t>A73703983</t>
  </si>
  <si>
    <t>nXDS15iR 100-127/200-240V 1ph 50/60Hz</t>
  </si>
  <si>
    <t>A73803983</t>
  </si>
  <si>
    <t>nXDS20iR 100-127/200-240V 1ph 50/60Hz</t>
  </si>
  <si>
    <t>A73001983</t>
  </si>
  <si>
    <t>XDS35i 100-120/200-230V 1PH 50/60Hz</t>
  </si>
  <si>
    <t>A73006983</t>
  </si>
  <si>
    <t>XDS35IC 100-120/200-230V 1PH 50/60Hz</t>
  </si>
  <si>
    <t>A73003983</t>
  </si>
  <si>
    <t>XDS35IE 100-120/200-230V 1PH 50/60Hz Enhanced</t>
  </si>
  <si>
    <t>A73101983</t>
  </si>
  <si>
    <t>XDS46i 100/230V 1Ph 50/60Hz</t>
  </si>
  <si>
    <t>A73106983</t>
  </si>
  <si>
    <t>XDS46iC 100-120/200-230V50/60HZ</t>
  </si>
  <si>
    <t>A74602983</t>
  </si>
  <si>
    <t>XDD1 Mk2 100-120V / 200-230V 50/60 Hz</t>
  </si>
  <si>
    <t>A77012320</t>
  </si>
  <si>
    <t>nXL110i HV NW40/NW25</t>
  </si>
  <si>
    <t>A77012420</t>
  </si>
  <si>
    <t>nXL110i HV NW50/NW25</t>
  </si>
  <si>
    <t>A77022320</t>
  </si>
  <si>
    <t>nXL200i HV NW40/NW25</t>
  </si>
  <si>
    <t>A77022420</t>
  </si>
  <si>
    <t>nXL200i HV NW50/NW25</t>
  </si>
  <si>
    <t>A90301983</t>
  </si>
  <si>
    <t>nXR30i 100-127/200-240V 1-ph 50/60HzNW25</t>
  </si>
  <si>
    <t>A90401983</t>
  </si>
  <si>
    <t>nXR40i 100-127/200-240V 1-ph 50/60HzNW40</t>
  </si>
  <si>
    <t>A90502983</t>
  </si>
  <si>
    <t>nXR60i 100-127/200-240V 1-ph 50/60HzNW40</t>
  </si>
  <si>
    <t>A90602983</t>
  </si>
  <si>
    <t>nXR90i 100-127/200-240V 1-ph 50/60HzNW40</t>
  </si>
  <si>
    <t>A90702983</t>
  </si>
  <si>
    <t>nXR120i 100-127/200-240V 1-ph 50/60HzNW40</t>
  </si>
  <si>
    <t>B8SM-A0G-60</t>
  </si>
  <si>
    <t>nEXT2807M-DN 250 ISO-F; Profibus</t>
  </si>
  <si>
    <t>B8SM-A0G-61</t>
  </si>
  <si>
    <t>nEXT2807MDN 250 ISO-F; RS485</t>
  </si>
  <si>
    <t>B8TM-A0M-60</t>
  </si>
  <si>
    <t>nEXT3207M-DN 320 ISO-F; Profibus</t>
  </si>
  <si>
    <t>B8TM-A0M-61</t>
  </si>
  <si>
    <t>nEXT3207M-DN 320 ISO-F; RS485</t>
  </si>
  <si>
    <t>B81200100</t>
  </si>
  <si>
    <t>nEXT 240D ISO100 160W</t>
  </si>
  <si>
    <t>B82200100</t>
  </si>
  <si>
    <t>nEXT300D ISO100 160W</t>
  </si>
  <si>
    <t>B83200300</t>
  </si>
  <si>
    <t>nEXT400D ISO160 160W</t>
  </si>
  <si>
    <t>B81200200</t>
  </si>
  <si>
    <t>nEXT240D CF100 160W</t>
  </si>
  <si>
    <t>B82200200</t>
  </si>
  <si>
    <t>nEXT300D CF100 160W</t>
  </si>
  <si>
    <t>B83200400</t>
  </si>
  <si>
    <t>nEXT400D CF160 160W</t>
  </si>
  <si>
    <t>B8G210101</t>
  </si>
  <si>
    <t>NEXT85D ISO100 NW16 80W</t>
  </si>
  <si>
    <t>B8G210A01</t>
  </si>
  <si>
    <t>NEXT85D NW40 NW16 80W</t>
  </si>
  <si>
    <t>B8G210B01</t>
  </si>
  <si>
    <t>NEXT85D ISO63 NW16 80W</t>
  </si>
  <si>
    <t>B8G210C01</t>
  </si>
  <si>
    <t>nEXT85D CF63 NW16 80W</t>
  </si>
  <si>
    <t>B8G410101</t>
  </si>
  <si>
    <t>nEXT85H ISO100 NW16 80W</t>
  </si>
  <si>
    <t>B8G410A01</t>
  </si>
  <si>
    <t>nEXT85H NW40 NW16 80W</t>
  </si>
  <si>
    <t>B8G410B01</t>
  </si>
  <si>
    <t>NEXT85H ISO63 NW16 80W</t>
  </si>
  <si>
    <t>B8G410C01</t>
  </si>
  <si>
    <t>nEXT85H CF63 NW16 80W</t>
  </si>
  <si>
    <t>C31205000</t>
  </si>
  <si>
    <t>PV16K Pipeline Valve Manual</t>
  </si>
  <si>
    <t>C31215000</t>
  </si>
  <si>
    <t>PV16Ks Pipeline Valve Manual</t>
  </si>
  <si>
    <t>C31305000</t>
  </si>
  <si>
    <t>PV25K Pipeline Valve Manual</t>
  </si>
  <si>
    <t>C31315000</t>
  </si>
  <si>
    <t>PV25KS VALVE MANUAL S/S</t>
  </si>
  <si>
    <t>C31405000</t>
  </si>
  <si>
    <t>PV40K Pipeline Valve Manual</t>
  </si>
  <si>
    <t>C31415000</t>
  </si>
  <si>
    <t>PV40KS Valve Manual S/S</t>
  </si>
  <si>
    <t>C31515000</t>
  </si>
  <si>
    <t>PV50KS Valve Manual S/S</t>
  </si>
  <si>
    <t>C33105000</t>
  </si>
  <si>
    <t>SP10K Speedivalve With Nitrile Diaphragm</t>
  </si>
  <si>
    <t>C33155000</t>
  </si>
  <si>
    <t>SP10K Speedivalve FKM GP Diaphragm</t>
  </si>
  <si>
    <t>C33205000</t>
  </si>
  <si>
    <t>SP16K Speedivalve With Nitrile Diaphragm</t>
  </si>
  <si>
    <t>C33255000</t>
  </si>
  <si>
    <t>SP16K Speedivalve With Viton® Diaphragm</t>
  </si>
  <si>
    <t>C33305000</t>
  </si>
  <si>
    <t>SP25K Speedivalve With Nitrile Diaphragm</t>
  </si>
  <si>
    <t>C33355000</t>
  </si>
  <si>
    <t>SP25K Speedivalve FKM GP Diaphragm</t>
  </si>
  <si>
    <t>C33405000</t>
  </si>
  <si>
    <t>SP40K Speedivalve With Nitrile Diaphragm</t>
  </si>
  <si>
    <t>C33455000</t>
  </si>
  <si>
    <t>SP40K Speedivalve FKM GP Diaphragm</t>
  </si>
  <si>
    <t>C37102000</t>
  </si>
  <si>
    <t>LV10K Leak Valve NW10 Flanges</t>
  </si>
  <si>
    <t>C41101000</t>
  </si>
  <si>
    <t>PV10EKA Solenoid Valve 240V</t>
  </si>
  <si>
    <t>C41201000</t>
  </si>
  <si>
    <t>PV16EKA Solenoid Valve 240V</t>
  </si>
  <si>
    <t>C41202000</t>
  </si>
  <si>
    <t>PV16EKS Solenoid Valve 240V</t>
  </si>
  <si>
    <t>C41111000</t>
  </si>
  <si>
    <t>PV10PKA Pipeline Valve Al</t>
  </si>
  <si>
    <t>C41211000</t>
  </si>
  <si>
    <t>PV16PKA Pipeline Valve Al</t>
  </si>
  <si>
    <t>C41213000</t>
  </si>
  <si>
    <t>PV16PKA-O Pipeline Valve Al</t>
  </si>
  <si>
    <t>C41215000</t>
  </si>
  <si>
    <t>PV16PKS Pipeline Valve S/S</t>
  </si>
  <si>
    <t>C41219000</t>
  </si>
  <si>
    <t>IPV16MKS Inline Valve Bellows S/S</t>
  </si>
  <si>
    <t>C41301000</t>
  </si>
  <si>
    <t>PV25EKA Solenoid Valve 240V</t>
  </si>
  <si>
    <t>C41301300</t>
  </si>
  <si>
    <t>PK25EKA 240V valve - no body</t>
  </si>
  <si>
    <t>C41302000</t>
  </si>
  <si>
    <t>PV25EKS Solenoid Valve 240 S/S</t>
  </si>
  <si>
    <t>C41304000</t>
  </si>
  <si>
    <t>PV25EKS Solenoid Valve 110 S/S</t>
  </si>
  <si>
    <t>C41311000</t>
  </si>
  <si>
    <t>PV25PKA Pipeline Valve Al</t>
  </si>
  <si>
    <t>C41313000</t>
  </si>
  <si>
    <t>PV25PKA-O Pipeline Valve Al</t>
  </si>
  <si>
    <t>C41315000</t>
  </si>
  <si>
    <t>PV25PKS Pipeline Valve S/S</t>
  </si>
  <si>
    <t>C41318000</t>
  </si>
  <si>
    <t>PV25PKA Dual microswitch 1/8" NPT</t>
  </si>
  <si>
    <t>C41321000</t>
  </si>
  <si>
    <t>IPV25MKA Inline Valve Bellows Al</t>
  </si>
  <si>
    <t>C41322000</t>
  </si>
  <si>
    <t>IPV25MKS Inline Valve Bellows S/S</t>
  </si>
  <si>
    <t>C41401000</t>
  </si>
  <si>
    <t>PV40EKA Solenoid Valve 240V Al</t>
  </si>
  <si>
    <t>C41402000</t>
  </si>
  <si>
    <t>PV40EKS Solenoid Valve 240 S/S</t>
  </si>
  <si>
    <t>C41404000</t>
  </si>
  <si>
    <t>PV40EKS Solenoid Valve 110 S/S</t>
  </si>
  <si>
    <t>C41411000</t>
  </si>
  <si>
    <t>PV40PKA Pipeline Valve Al</t>
  </si>
  <si>
    <t>C41411100</t>
  </si>
  <si>
    <t>PV40PKA Valve Al Silicone O Ring</t>
  </si>
  <si>
    <t>C41413000</t>
  </si>
  <si>
    <t>PV40PKA-O Pipeline Valve Al</t>
  </si>
  <si>
    <t>C41415000</t>
  </si>
  <si>
    <t>PV40PKS PIPELINE VALVE (S/S)</t>
  </si>
  <si>
    <t>C41419000</t>
  </si>
  <si>
    <t>PV40PKS S/S Pipeline Valve Lam</t>
  </si>
  <si>
    <t>D1G1011100</t>
  </si>
  <si>
    <t>APG200-XM-NW16</t>
  </si>
  <si>
    <t>D1G1021100</t>
  </si>
  <si>
    <t>APG200-XM-NW25</t>
  </si>
  <si>
    <t>D1G2011100</t>
  </si>
  <si>
    <t>APG200-XLC-NW16</t>
  </si>
  <si>
    <t>D1G2021100</t>
  </si>
  <si>
    <t>APG200-XLC-NW25</t>
  </si>
  <si>
    <t>D1G1011150</t>
  </si>
  <si>
    <t>APG200-M-NW16</t>
  </si>
  <si>
    <t>D1G1021150</t>
  </si>
  <si>
    <t>APG200-M-NW25</t>
  </si>
  <si>
    <t>D1G2011150</t>
  </si>
  <si>
    <t>APG200-LC-NW16</t>
  </si>
  <si>
    <t>D1G2021150</t>
  </si>
  <si>
    <t>APG200-LC-NW25</t>
  </si>
  <si>
    <t>D1G3011150</t>
  </si>
  <si>
    <t>APG200-MP-NW16</t>
  </si>
  <si>
    <t>D1G3021150</t>
  </si>
  <si>
    <t>APG200-MP-NW25</t>
  </si>
  <si>
    <t>D03000200</t>
  </si>
  <si>
    <t>PRG20K NW16 Al</t>
  </si>
  <si>
    <t>D03000201</t>
  </si>
  <si>
    <t>PRG Cable 5m</t>
  </si>
  <si>
    <t>D03000202</t>
  </si>
  <si>
    <t>PRG Cable 10m</t>
  </si>
  <si>
    <t>D03000203</t>
  </si>
  <si>
    <t>PRG Cable 20m</t>
  </si>
  <si>
    <t>D03000204</t>
  </si>
  <si>
    <t>PRG Cable 30m</t>
  </si>
  <si>
    <t>D03000205</t>
  </si>
  <si>
    <t>PRG Cable 50m</t>
  </si>
  <si>
    <t>D03000210</t>
  </si>
  <si>
    <t>PRG20K DN16CF SS</t>
  </si>
  <si>
    <t>D03000220</t>
  </si>
  <si>
    <t>PRG20KCR - NW16 SS</t>
  </si>
  <si>
    <t>D03000300</t>
  </si>
  <si>
    <t>IG40 BA DN40CF</t>
  </si>
  <si>
    <t>D03000301</t>
  </si>
  <si>
    <t>IG40 BA/EX cable 5 m Bakeable</t>
  </si>
  <si>
    <t>D03000302</t>
  </si>
  <si>
    <t>IG40 BA / EX cable 10m Bakeable</t>
  </si>
  <si>
    <t>D03000305</t>
  </si>
  <si>
    <t>IG40 BA / EX cable 50m Bakeable</t>
  </si>
  <si>
    <t>D03000310</t>
  </si>
  <si>
    <t>IG40 EX DN40CF</t>
  </si>
  <si>
    <t>D03000400</t>
  </si>
  <si>
    <t>PGC201 Pirani / Penning Contr</t>
  </si>
  <si>
    <t>D03000410</t>
  </si>
  <si>
    <t>PGC202 Pirani / lon Contr</t>
  </si>
  <si>
    <t>D03000500</t>
  </si>
  <si>
    <t>P4 Gauge NW16</t>
  </si>
  <si>
    <t>D03000550</t>
  </si>
  <si>
    <t>P4 Gauge (Bluetooth) - NW16 (Gauge only)</t>
  </si>
  <si>
    <t>D03000600</t>
  </si>
  <si>
    <t>P5 Gauge NW16</t>
  </si>
  <si>
    <t>D03000650</t>
  </si>
  <si>
    <t>P5 Gauge (Bluetooth) - NW16</t>
  </si>
  <si>
    <t>D04850000</t>
  </si>
  <si>
    <t>AIGX-S-NW25 S/S Active lon Gauge</t>
  </si>
  <si>
    <t>D04852000</t>
  </si>
  <si>
    <t>AIGX-S-DN40CF S/S Active lon Gauge</t>
  </si>
  <si>
    <t>D04860000</t>
  </si>
  <si>
    <t>AIGX-D-NW25 S/S Active lon Gauge</t>
  </si>
  <si>
    <t>D0486000C</t>
  </si>
  <si>
    <t>AIGX-D-NW25 + calibration certificate</t>
  </si>
  <si>
    <t>D0486200C</t>
  </si>
  <si>
    <t>AIGX-D-DN40CF CERTIFIED</t>
  </si>
  <si>
    <t>D05914000</t>
  </si>
  <si>
    <t>IS16K Vacuum Interlock Switch</t>
  </si>
  <si>
    <t>D05915000</t>
  </si>
  <si>
    <t>VS16K Adjustable Vacuum Switch</t>
  </si>
  <si>
    <t>D13510903</t>
  </si>
  <si>
    <t>ELD500 WET, 200-240V,50/60Hz</t>
  </si>
  <si>
    <t>D13510906</t>
  </si>
  <si>
    <t>ELD500 WET, 100-120V, 60Hz</t>
  </si>
  <si>
    <t>D13520903</t>
  </si>
  <si>
    <t>ELD500 DRY, 200-240V, 50/60Hz</t>
  </si>
  <si>
    <t>D13520906</t>
  </si>
  <si>
    <t>ELD500 DRY, 100-120V, 60Hz</t>
  </si>
  <si>
    <t>D13530000</t>
  </si>
  <si>
    <t>ELD500 FLEX, 100-240V, 50/60Hz</t>
  </si>
  <si>
    <t>D13550100</t>
  </si>
  <si>
    <t>ELD500 RC-Wired Remote controls</t>
  </si>
  <si>
    <t>D13550110</t>
  </si>
  <si>
    <t>ELD500 RC-Wireless Remote control</t>
  </si>
  <si>
    <t>D13550130</t>
  </si>
  <si>
    <t>ELD500 RC-Wireless Extra transmitter</t>
  </si>
  <si>
    <t>D13550200</t>
  </si>
  <si>
    <t>ELD500 SL-Extended SL Interface</t>
  </si>
  <si>
    <t>D13550300</t>
  </si>
  <si>
    <t>ELD500 SL Sniffer line</t>
  </si>
  <si>
    <t>D13550400</t>
  </si>
  <si>
    <t>ELD500 Partial flow adaptor</t>
  </si>
  <si>
    <t>D13550500</t>
  </si>
  <si>
    <t>ELD500 Transport Case</t>
  </si>
  <si>
    <t>D13550600</t>
  </si>
  <si>
    <t>ELD500 Cart without Ebox</t>
  </si>
  <si>
    <t>D13550610</t>
  </si>
  <si>
    <t>ELD500 Cart with 230V Ebox</t>
  </si>
  <si>
    <t>D13550620</t>
  </si>
  <si>
    <t>ELD500 Cart with 115V Ebox</t>
  </si>
  <si>
    <t>D13550910</t>
  </si>
  <si>
    <t>CL-Internal calibrated leak</t>
  </si>
  <si>
    <t>D13550930</t>
  </si>
  <si>
    <t>CL-Cal Leak bspk. 0.5 1E-7. Screw Skt</t>
  </si>
  <si>
    <t>D13550950</t>
  </si>
  <si>
    <t>CL-calibrated leak HE 4 to 6</t>
  </si>
  <si>
    <t>D14135000</t>
  </si>
  <si>
    <t>GasCheck G4 Leak detector</t>
  </si>
  <si>
    <t>D14536000</t>
  </si>
  <si>
    <t>CP25KP Gauge Head</t>
  </si>
  <si>
    <t>D14541000</t>
  </si>
  <si>
    <t>CP25EK Penning Gauge Head</t>
  </si>
  <si>
    <t>D2G0021100</t>
  </si>
  <si>
    <t>AIM200-X-NW25</t>
  </si>
  <si>
    <t>D2G0041100</t>
  </si>
  <si>
    <t>AIM200-X-DN40CF</t>
  </si>
  <si>
    <t>D2G0031100</t>
  </si>
  <si>
    <t>AIM200-X-NW40</t>
  </si>
  <si>
    <t>D2G0021120</t>
  </si>
  <si>
    <t>AIM200-G-NW25</t>
  </si>
  <si>
    <t>D2G0031120</t>
  </si>
  <si>
    <t>AIM200-G-NW40</t>
  </si>
  <si>
    <t>D2G0041120</t>
  </si>
  <si>
    <t>AIM200-G-DN40CF</t>
  </si>
  <si>
    <t>D2G0021130</t>
  </si>
  <si>
    <t>AIM200-O-NW25</t>
  </si>
  <si>
    <t>D2G0031130</t>
  </si>
  <si>
    <t>AIM200-O-NW40</t>
  </si>
  <si>
    <t>D2G0041130</t>
  </si>
  <si>
    <t>AIM200-O-DN40CF</t>
  </si>
  <si>
    <t>D2G0021140</t>
  </si>
  <si>
    <t>AIM200-Q-NW25</t>
  </si>
  <si>
    <t>D2G0031140</t>
  </si>
  <si>
    <t>AIM200-Q-NW40</t>
  </si>
  <si>
    <t>D2G0041140</t>
  </si>
  <si>
    <t>AIM200-Q-DN40CF</t>
  </si>
  <si>
    <t>D2G0021150</t>
  </si>
  <si>
    <t>AIM200-S-NW25</t>
  </si>
  <si>
    <t>D2G0031150</t>
  </si>
  <si>
    <t>AIM200-S-NW40</t>
  </si>
  <si>
    <t>D2G0041150</t>
  </si>
  <si>
    <t>AIM200-S-DN40CF</t>
  </si>
  <si>
    <t>D3G0021100</t>
  </si>
  <si>
    <t>WRG200-X-NW25</t>
  </si>
  <si>
    <t>D3G0041100</t>
  </si>
  <si>
    <t>WRG200-X-DN40CF</t>
  </si>
  <si>
    <t>D3G0121100</t>
  </si>
  <si>
    <t>WRG200-XS-NW25</t>
  </si>
  <si>
    <t>D3G0131100</t>
  </si>
  <si>
    <t>WRG200-XS-NW40</t>
  </si>
  <si>
    <t>D3G0021120</t>
  </si>
  <si>
    <t>WRG200-G-NW25</t>
  </si>
  <si>
    <t>D3G0031120</t>
  </si>
  <si>
    <t>WRG200-G-NW40</t>
  </si>
  <si>
    <t>D3G0041120</t>
  </si>
  <si>
    <t>WRG200-G-DN40CF</t>
  </si>
  <si>
    <t>D3G0121120</t>
  </si>
  <si>
    <t>WRG200-GS-NW25</t>
  </si>
  <si>
    <t>D3G0131120</t>
  </si>
  <si>
    <t>WRG200-GS-NW40</t>
  </si>
  <si>
    <t>D3G0141120</t>
  </si>
  <si>
    <t>WRG200-GS-DN40CF</t>
  </si>
  <si>
    <t>D3G0021140</t>
  </si>
  <si>
    <t>WRG200-Q-NW25</t>
  </si>
  <si>
    <t>D3G0031140</t>
  </si>
  <si>
    <t>WRG200-Q-NW40</t>
  </si>
  <si>
    <t>D3G0041140</t>
  </si>
  <si>
    <t>WRG200-Q-DN40CF</t>
  </si>
  <si>
    <t>D3G0121140</t>
  </si>
  <si>
    <t>WRG200-QS-NW25</t>
  </si>
  <si>
    <t>D3G0131140</t>
  </si>
  <si>
    <t>WRG200-QS-NW40</t>
  </si>
  <si>
    <t>D3G0141140</t>
  </si>
  <si>
    <t>WRG200-QS-DN40CF</t>
  </si>
  <si>
    <t>D14750100</t>
  </si>
  <si>
    <t>WRH NW25</t>
  </si>
  <si>
    <t>D14750110</t>
  </si>
  <si>
    <t>WRH NW40</t>
  </si>
  <si>
    <t>D14750120</t>
  </si>
  <si>
    <t>WRH DN40CF</t>
  </si>
  <si>
    <t>W601111110</t>
  </si>
  <si>
    <t>Barocel 7025m 1000torr 16KF RJ45</t>
  </si>
  <si>
    <t>W601111130</t>
  </si>
  <si>
    <t>Barocel 7025m 1000torr 16KF 9PIN</t>
  </si>
  <si>
    <t>W601111210</t>
  </si>
  <si>
    <t>Barocel 7025m 1000torr 8VCR RJ45</t>
  </si>
  <si>
    <t>W601111230</t>
  </si>
  <si>
    <t>Barocel 7025m 1000torr 8VCR 9PIN</t>
  </si>
  <si>
    <t>W601112110</t>
  </si>
  <si>
    <t>Barocel 7025m 100torr 16KF RJ45</t>
  </si>
  <si>
    <t>W601112130</t>
  </si>
  <si>
    <t>Barocel 7025m 100torr 16KF 9PIN</t>
  </si>
  <si>
    <t>W601112210</t>
  </si>
  <si>
    <t>Barocel 7025m 100torr 8VCR RJ45</t>
  </si>
  <si>
    <t>W601112230</t>
  </si>
  <si>
    <t>Barocel 7025m 100torr 8VCR 9PIN</t>
  </si>
  <si>
    <t>D05001101</t>
  </si>
  <si>
    <t>PRA100</t>
  </si>
  <si>
    <t>D05001102</t>
  </si>
  <si>
    <t>PRA100S</t>
  </si>
  <si>
    <t>D05001201</t>
  </si>
  <si>
    <t>PRA-200</t>
  </si>
  <si>
    <t>D05001202</t>
  </si>
  <si>
    <t>PRA-200S</t>
  </si>
  <si>
    <t>D05002202</t>
  </si>
  <si>
    <t>WRA-200S</t>
  </si>
  <si>
    <t>D05002302</t>
  </si>
  <si>
    <t>WRA-300S</t>
  </si>
  <si>
    <t>D35610000</t>
  </si>
  <si>
    <t>CG16K Capsule Gauge 1040 mbar</t>
  </si>
  <si>
    <t>D3561000C</t>
  </si>
  <si>
    <t>CG16K 1040 mbar + Cal Cert</t>
  </si>
  <si>
    <t>D35611000</t>
  </si>
  <si>
    <t>CG16K Capsule Gauge 125 mbar</t>
  </si>
  <si>
    <t>D35612000</t>
  </si>
  <si>
    <t>CG16K Capsule Gauge 50 mbar</t>
  </si>
  <si>
    <t>D35613000</t>
  </si>
  <si>
    <t>CG16K Capsule Gauge 25 mbar</t>
  </si>
  <si>
    <t>D35630000</t>
  </si>
  <si>
    <t>CG16K Capsule Gauge 760 TORR</t>
  </si>
  <si>
    <t>D35633000</t>
  </si>
  <si>
    <t>CG16K Capsule Gauge 20 TORR</t>
  </si>
  <si>
    <t>D39590000</t>
  </si>
  <si>
    <t>ADC Standard 1 Head</t>
  </si>
  <si>
    <t>D39591500</t>
  </si>
  <si>
    <t>ADC Enhanced MkII Gauge Controller</t>
  </si>
  <si>
    <t>D3959150C</t>
  </si>
  <si>
    <t>Calibrated ADC enhanced MkII Controller</t>
  </si>
  <si>
    <t>D39592000</t>
  </si>
  <si>
    <t>TAG Controller</t>
  </si>
  <si>
    <t>D39700000</t>
  </si>
  <si>
    <t>D3970000C</t>
  </si>
  <si>
    <t>TIC Instrmnt Cont 3 Hd RS232 + Cal Cert</t>
  </si>
  <si>
    <t>D39701000</t>
  </si>
  <si>
    <t>TIC Instrument Controller 6 head RS232</t>
  </si>
  <si>
    <t>D3970100C</t>
  </si>
  <si>
    <t>TIC Inst Controller 6 head + Cal Cert</t>
  </si>
  <si>
    <t>D39702000</t>
  </si>
  <si>
    <t>TIC Instrument Controller 6 head Capman</t>
  </si>
  <si>
    <t>D3970200C</t>
  </si>
  <si>
    <t>TIC Inst Cont 6 head Capman + Cal Cert</t>
  </si>
  <si>
    <t>D39711000</t>
  </si>
  <si>
    <t>TIC Turbo Controller 100W RS232</t>
  </si>
  <si>
    <t>D39712000</t>
  </si>
  <si>
    <t>TIC Turbo Controller 200W RS232</t>
  </si>
  <si>
    <t>D39721000</t>
  </si>
  <si>
    <t>TICTurbo &amp; Inst Controller 100W RS232</t>
  </si>
  <si>
    <t>D39722000</t>
  </si>
  <si>
    <t>TIC Turbo &amp; Inst Controller 200W RS232</t>
  </si>
  <si>
    <t>D40001010</t>
  </si>
  <si>
    <t>1M Active Gauge Cable</t>
  </si>
  <si>
    <t>D40001030</t>
  </si>
  <si>
    <t>3M Active Gauge Cable</t>
  </si>
  <si>
    <t>TS85D1001</t>
  </si>
  <si>
    <t>T-Station 85H Dry NW40 200-240V</t>
  </si>
  <si>
    <t>TS85D2001</t>
  </si>
  <si>
    <t>T-Station 85H Dry ISO63 200-240V</t>
  </si>
  <si>
    <t>TS85D3001</t>
  </si>
  <si>
    <t>T-Station 85H Dry CF63 200-240V</t>
  </si>
  <si>
    <t>TS85W1001</t>
  </si>
  <si>
    <t>T-Station 85H Wet NW40 200-240V</t>
  </si>
  <si>
    <t>TS85W2001</t>
  </si>
  <si>
    <t>T-Station 85H Wet ISO63 200-240V</t>
  </si>
  <si>
    <t>TS85W3001</t>
  </si>
  <si>
    <t>T-Station 85H Wet CF63 200-240V</t>
  </si>
  <si>
    <t>TS300D4001</t>
  </si>
  <si>
    <t>T-Station 300D Dry ISO100 200-230V</t>
  </si>
  <si>
    <t>TS300D4002</t>
  </si>
  <si>
    <t>T-Station 300D Dry ISO100 100-120V</t>
  </si>
  <si>
    <t>TS300D5001</t>
  </si>
  <si>
    <t>T-Station 300D Dry CF100 200-230V</t>
  </si>
  <si>
    <t>TS300D5002</t>
  </si>
  <si>
    <t>T-Station 300D Dry CF100 100-120V</t>
  </si>
  <si>
    <t>TS300W4001</t>
  </si>
  <si>
    <t>T-Station 300D Wet ISO100 200-230V</t>
  </si>
  <si>
    <t>TS300W4002</t>
  </si>
  <si>
    <t>T-Station 300D Wet ISO100 100-120V</t>
  </si>
  <si>
    <t>TS300W5001</t>
  </si>
  <si>
    <t>T-Station 300D Wet CF100 200-230V</t>
  </si>
  <si>
    <t>TS300W5002</t>
  </si>
  <si>
    <t>T-Station 300D Wet CF100 100-120V</t>
  </si>
  <si>
    <t>TSB431001</t>
  </si>
  <si>
    <t>nEXPT2/nEXT240D-ISO/RV12/240V</t>
  </si>
  <si>
    <t>TSB4A1002</t>
  </si>
  <si>
    <t>nEXPT1/nEXT240D-ISO/XDD1/115V</t>
  </si>
  <si>
    <t>TSB4E1002</t>
  </si>
  <si>
    <t>NEXT240D/NXDS10ISO100/TAV/115V</t>
  </si>
  <si>
    <t>TSB5D0003</t>
  </si>
  <si>
    <t>NXDS6I/NEXT240D/CF100/200V JP</t>
  </si>
  <si>
    <t>TSB5D1001</t>
  </si>
  <si>
    <t>NEXPT2/NEXT240D-CF/NXDS61/220V</t>
  </si>
  <si>
    <t>TSB5E0004</t>
  </si>
  <si>
    <t>NEXT240D/NXDS10I/CF100/240V</t>
  </si>
  <si>
    <t>TSB5E1001</t>
  </si>
  <si>
    <t>nEXT240D/CF100/nXDS10i/220V EU</t>
  </si>
  <si>
    <t>TSC430001</t>
  </si>
  <si>
    <t>nEXPT2/nEXT300D-ISO/RV12/240V</t>
  </si>
  <si>
    <t>TSC431001</t>
  </si>
  <si>
    <t>NEXT300D/ISO100/TAV5/220V (EU)</t>
  </si>
  <si>
    <t>TSC431004</t>
  </si>
  <si>
    <t>NEXT300D/ISO100/TAV5/240V (UK)</t>
  </si>
  <si>
    <t>TSC4D1001</t>
  </si>
  <si>
    <t>NEXT300D/NXDS6I/ISO100/240V</t>
  </si>
  <si>
    <t>TSC4E1001</t>
  </si>
  <si>
    <t>NEXT300D/NXDS10I/ISO100/220V</t>
  </si>
  <si>
    <t>TSC4G1001</t>
  </si>
  <si>
    <t>NEXT300/NXDS20/SO100/TAV5/220V</t>
  </si>
  <si>
    <t>TSC530001</t>
  </si>
  <si>
    <t>nEXPT2/nEXT300D-CF/RV12/240V</t>
  </si>
  <si>
    <t>TSC531002</t>
  </si>
  <si>
    <t>NEXT300D/CF100/TAV5/115V (USA)</t>
  </si>
  <si>
    <t>TSC5D1001</t>
  </si>
  <si>
    <t>NEXT300D/NXDS6/CF100/TAV5/220V</t>
  </si>
  <si>
    <t>TSC5F1001</t>
  </si>
  <si>
    <t>NEXT300D-CF/NXDS151/220V</t>
  </si>
  <si>
    <t>TSD631001</t>
  </si>
  <si>
    <t>NEXT400D/RV12/ISO160/TAV5/220V</t>
  </si>
  <si>
    <t>TSD631004</t>
  </si>
  <si>
    <t>nEXPT2/nEXT400D-ISO/RV12/240V</t>
  </si>
  <si>
    <t>TSD6E1001</t>
  </si>
  <si>
    <t>NEXT400D/ISO160/TAV5/220V (EU)</t>
  </si>
  <si>
    <t>TSD6G1002</t>
  </si>
  <si>
    <t>NEXT400D/NXDS201/ISO160/115V</t>
  </si>
  <si>
    <t>TSD731001</t>
  </si>
  <si>
    <t>NEXPT2/NEXT400D-CF/RV12/220V</t>
  </si>
  <si>
    <t>A41821945</t>
  </si>
  <si>
    <t>EDS200 Air Blast EU/CN 50Hz</t>
  </si>
  <si>
    <t>A41821946</t>
  </si>
  <si>
    <t>EDS200 Air Blast US 60Hz</t>
  </si>
  <si>
    <t>A41821934</t>
  </si>
  <si>
    <t>EDS200 Air Blast Asia 50Hz</t>
  </si>
  <si>
    <t>A41821936</t>
  </si>
  <si>
    <t>EDS200 Air Blast Asia 60Hz</t>
  </si>
  <si>
    <t>A41821957</t>
  </si>
  <si>
    <t>EDS200 Air Blast Canada 60Hz</t>
  </si>
  <si>
    <t>A41820945</t>
  </si>
  <si>
    <t>EDS200 EU/CN 50Hz DC</t>
  </si>
  <si>
    <t>A41820946</t>
  </si>
  <si>
    <t>EDS200 US 60Hz DC</t>
  </si>
  <si>
    <t>A41820934</t>
  </si>
  <si>
    <t>EDS200 Asia 50Hz DC</t>
  </si>
  <si>
    <t>A41820936</t>
  </si>
  <si>
    <t>EDS200 Asia 60Hz DC</t>
  </si>
  <si>
    <t>A41820957</t>
  </si>
  <si>
    <t>EDS200 Canada 60Hz DC</t>
  </si>
  <si>
    <t>A41831945</t>
  </si>
  <si>
    <t>EDS300 Air Blast EU/CN 50Hz</t>
  </si>
  <si>
    <t>A41831946</t>
  </si>
  <si>
    <t>EDS300 Air Blast US 60Hz</t>
  </si>
  <si>
    <t>A41831934</t>
  </si>
  <si>
    <t>EDS300 Air Blast Asia 50Hz</t>
  </si>
  <si>
    <t>A41831936</t>
  </si>
  <si>
    <t>EDS300 Air Blast Asia 60Hz</t>
  </si>
  <si>
    <t>A41831957</t>
  </si>
  <si>
    <t>EDS300 Air Blast Canada 60Hz</t>
  </si>
  <si>
    <t>A41830945</t>
  </si>
  <si>
    <t>EDS300 EU/CN 50Hz DC</t>
  </si>
  <si>
    <t>A41830946</t>
  </si>
  <si>
    <t>EDS300 US 60Hz DC</t>
  </si>
  <si>
    <t>A41830934</t>
  </si>
  <si>
    <t>EDS300 Asia 50Hz DC</t>
  </si>
  <si>
    <t>A41830936</t>
  </si>
  <si>
    <t>EDS300 Asia 60Hz DC</t>
  </si>
  <si>
    <t>A41830957</t>
  </si>
  <si>
    <t>EDS300 Canada 60Hz DC</t>
  </si>
  <si>
    <t>A41840945</t>
  </si>
  <si>
    <t>EDS480 EU/CN 50Hz DC</t>
  </si>
  <si>
    <t>A41840946</t>
  </si>
  <si>
    <t>EDS480 US 60Hz DC</t>
  </si>
  <si>
    <t>A41840934</t>
  </si>
  <si>
    <t>EDS480 Asia 50Hz DC</t>
  </si>
  <si>
    <t>A41840936</t>
  </si>
  <si>
    <t>EDS480 Asia 60Hz DC</t>
  </si>
  <si>
    <t>A41840957</t>
  </si>
  <si>
    <t>EDS480 Canada 60Hz DC</t>
  </si>
  <si>
    <t>GS2150350000</t>
  </si>
  <si>
    <t>GXS160F HV MD RE CA</t>
  </si>
  <si>
    <t>GS2120050000</t>
  </si>
  <si>
    <t>GXS160F LV LD RE CA</t>
  </si>
  <si>
    <t>GS2120350000</t>
  </si>
  <si>
    <t>GXS160F LV MD RE CA</t>
  </si>
  <si>
    <t>GS5150350000</t>
  </si>
  <si>
    <t>GXS160/1750F HV MD RE CA</t>
  </si>
  <si>
    <t>GS5120050000</t>
  </si>
  <si>
    <t>GXS160/1750F LV LD RE CA</t>
  </si>
  <si>
    <t>GS5120350000</t>
  </si>
  <si>
    <t>GXS160/1750F LV MD RE CA</t>
  </si>
  <si>
    <t>GS7150050000</t>
  </si>
  <si>
    <t>GXS250F HV LD RE CA</t>
  </si>
  <si>
    <t>GS7150350000</t>
  </si>
  <si>
    <t>GXS250F HV MD RE CA</t>
  </si>
  <si>
    <t>GS7120350000</t>
  </si>
  <si>
    <t>GXS250F LV MD RE CA</t>
  </si>
  <si>
    <t>GSB150050000</t>
  </si>
  <si>
    <t>GXS250/2600F HV LD RE CA</t>
  </si>
  <si>
    <t>GSB150350000</t>
  </si>
  <si>
    <t>GXS250/2600F HV MD RE CA</t>
  </si>
  <si>
    <t>GSB120350000</t>
  </si>
  <si>
    <t>GXS250/2600F LV MD RE CA</t>
  </si>
  <si>
    <t>GSD152350000</t>
  </si>
  <si>
    <t>GXS450F HV MD RE CA</t>
  </si>
  <si>
    <t>GSD122350000</t>
  </si>
  <si>
    <t>GXS450F LV MD RE CA</t>
  </si>
  <si>
    <t>GSF152350000</t>
  </si>
  <si>
    <t>GXS450/2600F HV MD RE CA</t>
  </si>
  <si>
    <t>GSF122050000</t>
  </si>
  <si>
    <t>GXS450/2600F LV LD RE CA</t>
  </si>
  <si>
    <t>GSF122350000</t>
  </si>
  <si>
    <t>GXS450/2600F LV MD RE CA</t>
  </si>
  <si>
    <t>GSG152350000</t>
  </si>
  <si>
    <t>GXS450/4200F HV MD RE CA</t>
  </si>
  <si>
    <t>GSG122050000</t>
  </si>
  <si>
    <t>GXS450/4200F LV LD RE CA</t>
  </si>
  <si>
    <t>GSG122350000</t>
  </si>
  <si>
    <t>GXS450/4200F LV MD RE CA</t>
  </si>
  <si>
    <t>GSL152350000</t>
  </si>
  <si>
    <t>GXS750F HV MD RE CA</t>
  </si>
  <si>
    <t>GSL152450000</t>
  </si>
  <si>
    <t>GXS750F HV MD+ RE CA</t>
  </si>
  <si>
    <t>GSL122050000</t>
  </si>
  <si>
    <t>GXS750F LV LD RE CA</t>
  </si>
  <si>
    <t>GSL122350000</t>
  </si>
  <si>
    <t>GXS750F LV MD RE CA</t>
  </si>
  <si>
    <t>GSL122450000</t>
  </si>
  <si>
    <t>GXS750F LV MD+ RE CA</t>
  </si>
  <si>
    <t>GSN152050000</t>
  </si>
  <si>
    <t>GXS750/2600F HV LD RE CA</t>
  </si>
  <si>
    <t>GSN152350000</t>
  </si>
  <si>
    <t>GXS750/2600F HV MD RE CA</t>
  </si>
  <si>
    <t>GSN122350000</t>
  </si>
  <si>
    <t>GXS750/2600F LV MD RE CA</t>
  </si>
  <si>
    <t>GSP152350000</t>
  </si>
  <si>
    <t>GXS750/4200F HV MD RE CA</t>
  </si>
  <si>
    <t>GSP122350000</t>
  </si>
  <si>
    <t>GXS750/4200F LV MD RE CA</t>
  </si>
  <si>
    <t>A41860904</t>
  </si>
  <si>
    <t>EXS160 HV MD RE CA</t>
  </si>
  <si>
    <t>A41860905</t>
  </si>
  <si>
    <t>EXS160 LV MD RE CA</t>
  </si>
  <si>
    <t>A41860914</t>
  </si>
  <si>
    <t>EXS160/1750 HV MD RE CA</t>
  </si>
  <si>
    <t>A41860915</t>
  </si>
  <si>
    <t>EXS160/1750 LV MD RE CA</t>
  </si>
  <si>
    <t>A41850904</t>
  </si>
  <si>
    <t>EXS250 HV MD RE CA</t>
  </si>
  <si>
    <t>A41850905</t>
  </si>
  <si>
    <t>EXS250 LV MD RE CA</t>
  </si>
  <si>
    <t>A41850914</t>
  </si>
  <si>
    <t>EXS250/2600 HV MD RE CA</t>
  </si>
  <si>
    <t>A41850915</t>
  </si>
  <si>
    <t>EXS250/2600 LV MD RE CA</t>
  </si>
  <si>
    <t>A41840900</t>
  </si>
  <si>
    <t>EXS450 HV MD SI</t>
  </si>
  <si>
    <t>A41840904</t>
  </si>
  <si>
    <t>EXS450 HV MD RE CA</t>
  </si>
  <si>
    <t>A41840905</t>
  </si>
  <si>
    <t>EXS450 LV MD RE CA</t>
  </si>
  <si>
    <t>A41840914</t>
  </si>
  <si>
    <t>EXS450/2600 HV MD RE CA</t>
  </si>
  <si>
    <t>A41840915</t>
  </si>
  <si>
    <t>EXS450/2600 LV MD RE CA</t>
  </si>
  <si>
    <t>A41840910</t>
  </si>
  <si>
    <t>EXS450/4200 HV MD RE CA</t>
  </si>
  <si>
    <t>A41840911</t>
  </si>
  <si>
    <t>EXS450/4200 LV MD RE CA</t>
  </si>
  <si>
    <t>A41870900</t>
  </si>
  <si>
    <t>EXS750 HV MD SI</t>
  </si>
  <si>
    <t>A41870904</t>
  </si>
  <si>
    <t>EXS750 HV MD RE CA</t>
  </si>
  <si>
    <t>A41870914</t>
  </si>
  <si>
    <t>EXS750/2600 HV MD RE CA</t>
  </si>
  <si>
    <t>A41870910</t>
  </si>
  <si>
    <t>EXS750/4200 HV MD RE CA</t>
  </si>
  <si>
    <t>NV0100963</t>
  </si>
  <si>
    <t>nGX100 MG 200-230V 50/60HZ</t>
  </si>
  <si>
    <t>NV0600963</t>
  </si>
  <si>
    <t>nGX600 MG 200-230V 50/60HZ</t>
  </si>
  <si>
    <t>NV1000963</t>
  </si>
  <si>
    <t>nGX1000 MG 200-230V 50/60HZ</t>
  </si>
  <si>
    <t>NV0100964</t>
  </si>
  <si>
    <t>nGX100 MW 380-460V 50/60HZ</t>
  </si>
  <si>
    <t>NV0600964</t>
  </si>
  <si>
    <t>nGX600 MW 380-460V 50/60HZ</t>
  </si>
  <si>
    <t>NV1000964</t>
  </si>
  <si>
    <t>nGX1000 MW 380-460V 50/60HZ</t>
  </si>
  <si>
    <t>NV0000903</t>
  </si>
  <si>
    <t>nGX silencer &amp; check valve &amp; kit</t>
  </si>
  <si>
    <t>A70316934</t>
  </si>
  <si>
    <t>GV80 IE4 200V 50Hz/60Hz</t>
  </si>
  <si>
    <t>A70316940</t>
  </si>
  <si>
    <t>GV80 IE4 380-415V 50Hz/60Hz</t>
  </si>
  <si>
    <t>A70316935</t>
  </si>
  <si>
    <t>GV80 P IE4 380-415V 50Hz/60Hz</t>
  </si>
  <si>
    <t>A70317934</t>
  </si>
  <si>
    <t>GV80 FX IE4 200V 50Hz/60Hz</t>
  </si>
  <si>
    <t>A70317940</t>
  </si>
  <si>
    <t>GV80 FX IE4 380-415V 50Hz/60Hz</t>
  </si>
  <si>
    <t>A70317935</t>
  </si>
  <si>
    <t>GV80 P FX IE4 380-415V 50Hz/60Hz</t>
  </si>
  <si>
    <t>A36417934</t>
  </si>
  <si>
    <t>E2M40 FX IE3 ASIA 50/60HZ</t>
  </si>
  <si>
    <t>A36404934</t>
  </si>
  <si>
    <t>E2M40 HC IE3 ASIA 50/60HZ</t>
  </si>
  <si>
    <t>A36517934</t>
  </si>
  <si>
    <t>E2M80 FX IE3 ASIA 50/60HZ</t>
  </si>
  <si>
    <t>A36504934</t>
  </si>
  <si>
    <t>E2M80 HC IE3 ASIA 50/60HZ</t>
  </si>
  <si>
    <t>A36604934</t>
  </si>
  <si>
    <t>E2M175 HC IE3 ASIA 50/60HZ</t>
  </si>
  <si>
    <t>A36704934</t>
  </si>
  <si>
    <t>E2M275 HC IE3 ASIA 50/60HZ</t>
  </si>
  <si>
    <t>A30105934</t>
  </si>
  <si>
    <t>EH250 HC IE3 ASIA 50HZ</t>
  </si>
  <si>
    <t>A30205934</t>
  </si>
  <si>
    <t>EH500 HC IE3 ASIA 50HZ</t>
  </si>
  <si>
    <t>A30505934</t>
  </si>
  <si>
    <t>EH1200 HC IE3 ASIA 50HZ</t>
  </si>
  <si>
    <t>A30705934</t>
  </si>
  <si>
    <t>EH2600 HC IE3 ASIA 50HZ</t>
  </si>
  <si>
    <t>A30905934</t>
  </si>
  <si>
    <t>EH4200 HC IE3 ASIA 50HZ</t>
  </si>
  <si>
    <t>A35124940</t>
  </si>
  <si>
    <t>nES40 ASIA, AIR COOLED</t>
  </si>
  <si>
    <t>A35324940</t>
  </si>
  <si>
    <t>nES65 ASIA, AIR COOLED</t>
  </si>
  <si>
    <t>A35424940</t>
  </si>
  <si>
    <t>nES100 ASIA, AIR COOLED</t>
  </si>
  <si>
    <t>A35624950</t>
  </si>
  <si>
    <t>nES300 EU/US/ASIA, AIR COOLED</t>
  </si>
  <si>
    <t>A35924950</t>
  </si>
  <si>
    <t>nES630 EU/US/ASIA, AIR COOLED</t>
  </si>
  <si>
    <t>212J Microvac CE 400V 50Hz</t>
  </si>
  <si>
    <t>412J Microvac CE 400V 50Hz</t>
  </si>
  <si>
    <t>A91193100</t>
  </si>
  <si>
    <t>Stokes P300S A220V/Y380V 60Hz</t>
  </si>
  <si>
    <t>A91293100</t>
  </si>
  <si>
    <t>Stokes P600S A220V/Y380V 60Hz</t>
  </si>
  <si>
    <t>A91393100</t>
  </si>
  <si>
    <t>Stokes P11005 A220V/Y380V 60Hz</t>
  </si>
  <si>
    <t>A50875020</t>
  </si>
  <si>
    <t>InEDC065V 200/230V 50Hz</t>
  </si>
  <si>
    <t>A50876120</t>
  </si>
  <si>
    <t>InEDC150 380V 60Hz</t>
  </si>
  <si>
    <t>A50877120</t>
  </si>
  <si>
    <t>nEDC300 380V 60Hz</t>
  </si>
  <si>
    <t>A50873110</t>
  </si>
  <si>
    <t>EDC500 400V 50Hz</t>
  </si>
  <si>
    <t>A50873210</t>
  </si>
  <si>
    <t>EDC1000 400V 50Hz</t>
  </si>
  <si>
    <t>A50862155</t>
  </si>
  <si>
    <t>EOS350i Aircooled HMI IE4</t>
  </si>
  <si>
    <t>A50863155</t>
  </si>
  <si>
    <t>EOS585i Aircooled HMI IE4</t>
  </si>
  <si>
    <t>A50864155</t>
  </si>
  <si>
    <t>EOS730i Aircooled HMI IE4</t>
  </si>
  <si>
    <t>A50865155</t>
  </si>
  <si>
    <t>EOS900i Aircooled HMI IE4</t>
  </si>
  <si>
    <t>A50866120</t>
  </si>
  <si>
    <t>EOS 1400i HMI 380-460V 3PH</t>
  </si>
  <si>
    <t>EOS3800i Aircooled 380-460V</t>
  </si>
  <si>
    <r>
      <t xml:space="preserve">OIL FILTER </t>
    </r>
    <r>
      <rPr>
        <b/>
        <sz val="10"/>
        <color rgb="FFFF0000"/>
        <rFont val="맑은 고딕"/>
        <family val="3"/>
        <charset val="129"/>
        <scheme val="major"/>
      </rPr>
      <t>(10개 Set로 판매예정)</t>
    </r>
    <phoneticPr fontId="0" type="Hiragana"/>
  </si>
  <si>
    <r>
      <t xml:space="preserve">38MM CORE PLUG </t>
    </r>
    <r>
      <rPr>
        <b/>
        <sz val="10"/>
        <color rgb="FFFF0000"/>
        <rFont val="맑은 고딕"/>
        <family val="3"/>
        <charset val="129"/>
        <scheme val="major"/>
      </rPr>
      <t>(10개 Set 판매)</t>
    </r>
    <phoneticPr fontId="3" type="noConversion"/>
  </si>
  <si>
    <t>H11026015</t>
  </si>
  <si>
    <t>Ultragrade Performance 15 - 1L</t>
  </si>
  <si>
    <t>H11025015</t>
  </si>
  <si>
    <t>Ultragrade Performance 19 - 1L</t>
  </si>
  <si>
    <t>H11028016</t>
  </si>
  <si>
    <t>Ultragrade PERFORMANCE 70 - 5LT'</t>
  </si>
  <si>
    <t>H11023011</t>
  </si>
  <si>
    <t>Gear Box Oil 4 Ltr Mobil SHC 629</t>
  </si>
  <si>
    <t>H11026013</t>
  </si>
  <si>
    <t>Ultragrade Performance 15 - 4L</t>
  </si>
  <si>
    <t>H11025013</t>
  </si>
  <si>
    <t>Ultragrade Performance 19 - 4L</t>
  </si>
  <si>
    <t>H11024013</t>
  </si>
  <si>
    <t>H02601055</t>
  </si>
  <si>
    <t>Vapour Booster Pump Fluid 201 - 20L</t>
  </si>
  <si>
    <t>H11041121</t>
  </si>
  <si>
    <t>XTRAGRADE Advanced 64, 1 Liter</t>
  </si>
  <si>
    <t>H11041111</t>
  </si>
  <si>
    <t>XTRAGRADE Advanced 276, 1 Liter</t>
  </si>
  <si>
    <t>Apiezon 'M' Grease - 100G</t>
  </si>
  <si>
    <t>H02301014</t>
  </si>
  <si>
    <t>Apiezon Wax W 500g Packet</t>
  </si>
  <si>
    <t>H02300043</t>
  </si>
  <si>
    <t>H02301044</t>
  </si>
  <si>
    <t>Apiezon Grease AP101 50g Tube</t>
  </si>
  <si>
    <t>H02301011</t>
  </si>
  <si>
    <t>H11150001</t>
  </si>
  <si>
    <t>Apiezon Grease H 25g Tube</t>
  </si>
  <si>
    <t>H02301015</t>
  </si>
  <si>
    <t>424-051-001</t>
  </si>
  <si>
    <t>Oil V Lube "H"   1 Gal</t>
  </si>
  <si>
    <t>H02400060</t>
  </si>
  <si>
    <t>Edwards 704 Silicone Oil - 500Ml Ss</t>
  </si>
  <si>
    <t>H02400070</t>
  </si>
  <si>
    <t>Edwards 705 Silicone Oil - 500Ml Ss</t>
  </si>
  <si>
    <t>Ultragrade Extend 110 – 1L</t>
  </si>
  <si>
    <t>H11032015</t>
  </si>
  <si>
    <t>H02301042</t>
  </si>
  <si>
    <t>Apiezon Grease L - 25G Tube</t>
  </si>
  <si>
    <t>H11022015</t>
  </si>
  <si>
    <t>Edwards 45 Fluid - 1L</t>
  </si>
  <si>
    <t>H11022013</t>
  </si>
  <si>
    <t>Edwards 45 Fluid - 4L</t>
  </si>
  <si>
    <r>
      <rPr>
        <u/>
        <sz val="24"/>
        <color theme="1"/>
        <rFont val="맑은 고딕"/>
        <family val="3"/>
        <charset val="129"/>
      </rPr>
      <t>견</t>
    </r>
    <r>
      <rPr>
        <u/>
        <sz val="24"/>
        <color theme="1"/>
        <rFont val="Trebuchet MS"/>
        <family val="2"/>
      </rPr>
      <t xml:space="preserve"> </t>
    </r>
    <r>
      <rPr>
        <u/>
        <sz val="24"/>
        <color theme="1"/>
        <rFont val="맑은 고딕"/>
        <family val="3"/>
        <charset val="129"/>
      </rPr>
      <t>적</t>
    </r>
    <r>
      <rPr>
        <u/>
        <sz val="24"/>
        <color theme="1"/>
        <rFont val="Trebuchet MS"/>
        <family val="2"/>
      </rPr>
      <t xml:space="preserve"> </t>
    </r>
    <r>
      <rPr>
        <u/>
        <sz val="24"/>
        <color theme="1"/>
        <rFont val="맑은 고딕"/>
        <family val="3"/>
        <charset val="129"/>
      </rPr>
      <t>서</t>
    </r>
    <r>
      <rPr>
        <u/>
        <sz val="24"/>
        <color theme="1"/>
        <rFont val="Trebuchet MS"/>
        <family val="2"/>
      </rPr>
      <t xml:space="preserve"> / QUOATION</t>
    </r>
    <phoneticPr fontId="3" type="noConversion"/>
  </si>
  <si>
    <r>
      <rPr>
        <b/>
        <sz val="10"/>
        <rFont val="맑은 고딕"/>
        <family val="3"/>
        <charset val="129"/>
      </rPr>
      <t>(주)스마텍</t>
    </r>
    <r>
      <rPr>
        <b/>
        <sz val="10"/>
        <rFont val="Trebuchet MS"/>
        <family val="2"/>
      </rPr>
      <t xml:space="preserve"> / SMARTECH</t>
    </r>
    <phoneticPr fontId="20" type="noConversion"/>
  </si>
  <si>
    <r>
      <rPr>
        <b/>
        <sz val="10"/>
        <rFont val="맑은 고딕"/>
        <family val="3"/>
        <charset val="129"/>
      </rPr>
      <t>경기도</t>
    </r>
    <r>
      <rPr>
        <b/>
        <sz val="10"/>
        <rFont val="Trebuchet MS"/>
        <family val="2"/>
      </rPr>
      <t xml:space="preserve"> </t>
    </r>
    <r>
      <rPr>
        <b/>
        <sz val="10"/>
        <rFont val="맑은 고딕"/>
        <family val="3"/>
        <charset val="129"/>
      </rPr>
      <t>수원시</t>
    </r>
    <r>
      <rPr>
        <b/>
        <sz val="10"/>
        <rFont val="Trebuchet MS"/>
        <family val="2"/>
      </rPr>
      <t xml:space="preserve"> </t>
    </r>
    <r>
      <rPr>
        <b/>
        <sz val="10"/>
        <rFont val="새굴림"/>
        <family val="2"/>
        <charset val="129"/>
      </rPr>
      <t>신원로55 907호</t>
    </r>
    <phoneticPr fontId="20" type="noConversion"/>
  </si>
  <si>
    <r>
      <rPr>
        <b/>
        <sz val="10"/>
        <rFont val="새굴림"/>
        <family val="1"/>
        <charset val="129"/>
      </rPr>
      <t>충남</t>
    </r>
    <r>
      <rPr>
        <b/>
        <sz val="10"/>
        <rFont val="돋움"/>
        <family val="2"/>
        <charset val="129"/>
      </rPr>
      <t xml:space="preserve"> 천안시 두정공원2길 49</t>
    </r>
    <phoneticPr fontId="20" type="noConversion"/>
  </si>
  <si>
    <t>Tel : 031 - 204 - 7170</t>
    <phoneticPr fontId="20" type="noConversion"/>
  </si>
  <si>
    <t>Fax : 031 - 206 - 7178</t>
    <phoneticPr fontId="20" type="noConversion"/>
  </si>
  <si>
    <t>www.smartechvacuum.com</t>
    <phoneticPr fontId="3" type="noConversion"/>
  </si>
  <si>
    <r>
      <rPr>
        <sz val="10"/>
        <rFont val="맑은 고딕"/>
        <family val="3"/>
        <charset val="129"/>
      </rPr>
      <t>영업</t>
    </r>
    <r>
      <rPr>
        <sz val="10"/>
        <rFont val="Trebuchet MS"/>
        <family val="2"/>
      </rPr>
      <t xml:space="preserve"> </t>
    </r>
    <r>
      <rPr>
        <sz val="10"/>
        <rFont val="맑은 고딕"/>
        <family val="3"/>
        <charset val="129"/>
      </rPr>
      <t>담당</t>
    </r>
    <r>
      <rPr>
        <sz val="10"/>
        <rFont val="Trebuchet MS"/>
        <family val="2"/>
      </rPr>
      <t xml:space="preserve">: </t>
    </r>
    <phoneticPr fontId="20" type="noConversion"/>
  </si>
  <si>
    <r>
      <rPr>
        <sz val="10"/>
        <rFont val="맑은 고딕"/>
        <family val="3"/>
        <charset val="129"/>
      </rPr>
      <t>대표</t>
    </r>
    <r>
      <rPr>
        <sz val="10"/>
        <rFont val="Trebuchet MS"/>
        <family val="2"/>
      </rPr>
      <t xml:space="preserve"> </t>
    </r>
    <r>
      <rPr>
        <sz val="10"/>
        <rFont val="맑은 고딕"/>
        <family val="3"/>
        <charset val="129"/>
      </rPr>
      <t>이명재</t>
    </r>
    <phoneticPr fontId="20" type="noConversion"/>
  </si>
  <si>
    <r>
      <t xml:space="preserve"> (</t>
    </r>
    <r>
      <rPr>
        <sz val="10"/>
        <rFont val="맑은 고딕"/>
        <family val="3"/>
        <charset val="129"/>
      </rPr>
      <t>연락처</t>
    </r>
    <r>
      <rPr>
        <sz val="10"/>
        <rFont val="Trebuchet MS"/>
        <family val="2"/>
      </rPr>
      <t xml:space="preserve">) : </t>
    </r>
    <phoneticPr fontId="20" type="noConversion"/>
  </si>
  <si>
    <r>
      <t>(</t>
    </r>
    <r>
      <rPr>
        <sz val="10"/>
        <rFont val="맑은 고딕"/>
        <family val="3"/>
        <charset val="129"/>
      </rPr>
      <t>연락처</t>
    </r>
    <r>
      <rPr>
        <sz val="10"/>
        <rFont val="Trebuchet MS"/>
        <family val="2"/>
      </rPr>
      <t xml:space="preserve">) </t>
    </r>
    <phoneticPr fontId="20" type="noConversion"/>
  </si>
  <si>
    <t>031 - 204 -7170</t>
    <phoneticPr fontId="20" type="noConversion"/>
  </si>
  <si>
    <r>
      <t xml:space="preserve"> (</t>
    </r>
    <r>
      <rPr>
        <sz val="10"/>
        <rFont val="맑은 고딕"/>
        <family val="3"/>
        <charset val="129"/>
      </rPr>
      <t>팩스</t>
    </r>
    <r>
      <rPr>
        <sz val="10"/>
        <rFont val="Trebuchet MS"/>
        <family val="2"/>
      </rPr>
      <t xml:space="preserve">) : </t>
    </r>
    <phoneticPr fontId="20" type="noConversion"/>
  </si>
  <si>
    <r>
      <t>(</t>
    </r>
    <r>
      <rPr>
        <sz val="10"/>
        <rFont val="맑은 고딕"/>
        <family val="3"/>
        <charset val="129"/>
      </rPr>
      <t>팩스</t>
    </r>
    <r>
      <rPr>
        <sz val="10"/>
        <rFont val="Trebuchet MS"/>
        <family val="2"/>
      </rPr>
      <t xml:space="preserve">)   </t>
    </r>
    <phoneticPr fontId="20" type="noConversion"/>
  </si>
  <si>
    <t>031 - 206 - 7178</t>
    <phoneticPr fontId="20" type="noConversion"/>
  </si>
  <si>
    <r>
      <t>(</t>
    </r>
    <r>
      <rPr>
        <sz val="10"/>
        <rFont val="맑은 고딕"/>
        <family val="3"/>
        <charset val="129"/>
      </rPr>
      <t>핸드폰</t>
    </r>
    <r>
      <rPr>
        <sz val="10"/>
        <rFont val="Trebuchet MS"/>
        <family val="2"/>
      </rPr>
      <t>)</t>
    </r>
    <phoneticPr fontId="20" type="noConversion"/>
  </si>
  <si>
    <t>010 - 3194-7170</t>
    <phoneticPr fontId="20" type="noConversion"/>
  </si>
  <si>
    <t>(E-mail)        rokmclmj@gmail.com</t>
    <phoneticPr fontId="3" type="noConversion"/>
  </si>
  <si>
    <t>제품 번호</t>
    <phoneticPr fontId="20" type="noConversion"/>
  </si>
  <si>
    <t>품명 및 규격</t>
    <phoneticPr fontId="20" type="noConversion"/>
  </si>
  <si>
    <r>
      <rPr>
        <b/>
        <sz val="10"/>
        <rFont val="맑은 고딕"/>
        <family val="3"/>
        <charset val="129"/>
      </rPr>
      <t>납기</t>
    </r>
    <phoneticPr fontId="20" type="noConversion"/>
  </si>
  <si>
    <r>
      <rPr>
        <b/>
        <sz val="10"/>
        <rFont val="맑은 고딕"/>
        <family val="3"/>
        <charset val="129"/>
      </rPr>
      <t>수량</t>
    </r>
    <phoneticPr fontId="20" type="noConversion"/>
  </si>
  <si>
    <r>
      <rPr>
        <b/>
        <sz val="10"/>
        <rFont val="맑은 고딕"/>
        <family val="3"/>
        <charset val="129"/>
      </rPr>
      <t>단가</t>
    </r>
    <r>
      <rPr>
        <b/>
        <sz val="10"/>
        <rFont val="Trebuchet MS"/>
        <family val="2"/>
      </rPr>
      <t>(</t>
    </r>
    <r>
      <rPr>
        <b/>
        <sz val="10"/>
        <rFont val="맑은 고딕"/>
        <family val="3"/>
        <charset val="129"/>
      </rPr>
      <t>원</t>
    </r>
    <r>
      <rPr>
        <b/>
        <sz val="10"/>
        <rFont val="Trebuchet MS"/>
        <family val="2"/>
      </rPr>
      <t>)</t>
    </r>
    <phoneticPr fontId="20" type="noConversion"/>
  </si>
  <si>
    <r>
      <rPr>
        <b/>
        <sz val="10"/>
        <rFont val="맑은 고딕"/>
        <family val="3"/>
        <charset val="129"/>
      </rPr>
      <t>공급가액</t>
    </r>
    <r>
      <rPr>
        <b/>
        <sz val="10"/>
        <rFont val="Trebuchet MS"/>
        <family val="2"/>
      </rPr>
      <t>(</t>
    </r>
    <r>
      <rPr>
        <b/>
        <sz val="10"/>
        <rFont val="맑은 고딕"/>
        <family val="3"/>
        <charset val="129"/>
      </rPr>
      <t>원</t>
    </r>
    <r>
      <rPr>
        <b/>
        <sz val="10"/>
        <rFont val="Trebuchet MS"/>
        <family val="2"/>
      </rPr>
      <t>)</t>
    </r>
    <phoneticPr fontId="20" type="noConversion"/>
  </si>
  <si>
    <t>합 계</t>
    <phoneticPr fontId="20" type="noConversion"/>
  </si>
  <si>
    <r>
      <rPr>
        <b/>
        <sz val="10"/>
        <rFont val="맑은 고딕"/>
        <family val="3"/>
        <charset val="129"/>
      </rPr>
      <t>부가세</t>
    </r>
    <phoneticPr fontId="20" type="noConversion"/>
  </si>
  <si>
    <t>총 공급가액</t>
    <phoneticPr fontId="20" type="noConversion"/>
  </si>
  <si>
    <r>
      <t>(</t>
    </r>
    <r>
      <rPr>
        <sz val="10"/>
        <rFont val="맑은 고딕"/>
        <family val="3"/>
        <charset val="129"/>
      </rPr>
      <t>단위</t>
    </r>
    <r>
      <rPr>
        <sz val="10"/>
        <rFont val="Trebuchet MS"/>
        <family val="2"/>
      </rPr>
      <t xml:space="preserve">: </t>
    </r>
    <r>
      <rPr>
        <sz val="10"/>
        <rFont val="맑은 고딕"/>
        <family val="3"/>
        <charset val="129"/>
      </rPr>
      <t>원</t>
    </r>
    <r>
      <rPr>
        <sz val="10"/>
        <rFont val="Trebuchet MS"/>
        <family val="2"/>
      </rPr>
      <t xml:space="preserve">) </t>
    </r>
    <phoneticPr fontId="20" type="noConversion"/>
  </si>
  <si>
    <r>
      <t xml:space="preserve"> </t>
    </r>
    <r>
      <rPr>
        <sz val="10"/>
        <rFont val="맑은 고딕"/>
        <family val="3"/>
        <charset val="129"/>
      </rPr>
      <t>유효기간</t>
    </r>
    <r>
      <rPr>
        <sz val="10"/>
        <rFont val="Trebuchet MS"/>
        <family val="2"/>
      </rPr>
      <t xml:space="preserve"> : 2</t>
    </r>
    <r>
      <rPr>
        <sz val="10"/>
        <rFont val="맑은 고딕"/>
        <family val="3"/>
        <charset val="129"/>
      </rPr>
      <t>주</t>
    </r>
    <phoneticPr fontId="20" type="noConversion"/>
  </si>
  <si>
    <r>
      <t xml:space="preserve"> </t>
    </r>
    <r>
      <rPr>
        <sz val="10"/>
        <rFont val="맑은 고딕"/>
        <family val="3"/>
        <charset val="129"/>
      </rPr>
      <t>인도장소</t>
    </r>
    <r>
      <rPr>
        <sz val="10"/>
        <rFont val="Trebuchet MS"/>
        <family val="2"/>
      </rPr>
      <t xml:space="preserve"> : </t>
    </r>
    <r>
      <rPr>
        <sz val="10"/>
        <rFont val="맑은 고딕"/>
        <family val="3"/>
        <charset val="129"/>
      </rPr>
      <t>귀사</t>
    </r>
    <r>
      <rPr>
        <sz val="10"/>
        <rFont val="Trebuchet MS"/>
        <family val="2"/>
      </rPr>
      <t xml:space="preserve"> </t>
    </r>
    <r>
      <rPr>
        <sz val="10"/>
        <rFont val="맑은 고딕"/>
        <family val="3"/>
        <charset val="129"/>
      </rPr>
      <t>하차도</t>
    </r>
    <phoneticPr fontId="20" type="noConversion"/>
  </si>
  <si>
    <r>
      <t xml:space="preserve"> </t>
    </r>
    <r>
      <rPr>
        <sz val="10"/>
        <rFont val="맑은 고딕"/>
        <family val="3"/>
        <charset val="129"/>
      </rPr>
      <t>결제조건</t>
    </r>
    <r>
      <rPr>
        <sz val="10"/>
        <rFont val="Trebuchet MS"/>
        <family val="2"/>
      </rPr>
      <t xml:space="preserve"> : </t>
    </r>
    <r>
      <rPr>
        <sz val="10"/>
        <rFont val="맑은 고딕"/>
        <family val="2"/>
        <charset val="129"/>
      </rPr>
      <t>납품 전 현금결제</t>
    </r>
    <phoneticPr fontId="20" type="noConversion"/>
  </si>
  <si>
    <r>
      <t xml:space="preserve"> </t>
    </r>
    <r>
      <rPr>
        <sz val="10"/>
        <rFont val="맑은 고딕"/>
        <family val="3"/>
        <charset val="129"/>
      </rPr>
      <t>입금은행</t>
    </r>
    <r>
      <rPr>
        <sz val="10"/>
        <rFont val="Trebuchet MS"/>
        <family val="2"/>
      </rPr>
      <t xml:space="preserve"> : </t>
    </r>
    <r>
      <rPr>
        <sz val="10"/>
        <rFont val="맑은 고딕"/>
        <family val="3"/>
        <charset val="129"/>
      </rPr>
      <t>신한은행</t>
    </r>
    <r>
      <rPr>
        <sz val="10"/>
        <rFont val="Trebuchet MS"/>
        <family val="2"/>
      </rPr>
      <t xml:space="preserve"> 140 - 012 -120571 </t>
    </r>
    <r>
      <rPr>
        <sz val="10"/>
        <rFont val="맑은 고딕"/>
        <family val="2"/>
        <charset val="129"/>
      </rPr>
      <t>㈜스마텍</t>
    </r>
    <phoneticPr fontId="20" type="noConversion"/>
  </si>
  <si>
    <r>
      <t xml:space="preserve"> </t>
    </r>
    <r>
      <rPr>
        <sz val="10"/>
        <rFont val="맑은 고딕"/>
        <family val="3"/>
        <charset val="129"/>
      </rPr>
      <t>담당자</t>
    </r>
    <r>
      <rPr>
        <sz val="10"/>
        <rFont val="Trebuchet MS"/>
        <family val="2"/>
      </rPr>
      <t xml:space="preserve"> : </t>
    </r>
    <r>
      <rPr>
        <sz val="10"/>
        <rFont val="맑은 고딕"/>
        <family val="2"/>
        <charset val="129"/>
      </rPr>
      <t>님</t>
    </r>
    <phoneticPr fontId="20" type="noConversion"/>
  </si>
  <si>
    <r>
      <t xml:space="preserve"> (</t>
    </r>
    <r>
      <rPr>
        <sz val="10"/>
        <rFont val="맑은 고딕"/>
        <family val="3"/>
        <charset val="129"/>
      </rPr>
      <t>핸드폰</t>
    </r>
    <r>
      <rPr>
        <sz val="10"/>
        <rFont val="Trebuchet MS"/>
        <family val="2"/>
      </rPr>
      <t xml:space="preserve">) : </t>
    </r>
    <phoneticPr fontId="20" type="noConversion"/>
  </si>
  <si>
    <t xml:space="preserve"> (E-mail) : </t>
    <phoneticPr fontId="3" type="noConversion"/>
  </si>
  <si>
    <t>Gear Dp250/400 Pair PK1</t>
    <phoneticPr fontId="3" type="noConversion"/>
  </si>
  <si>
    <t>A22903755</t>
    <phoneticPr fontId="3" type="noConversion"/>
  </si>
  <si>
    <r>
      <t>A22903755</t>
    </r>
    <r>
      <rPr>
        <b/>
        <sz val="10"/>
        <color rgb="FFFF0000"/>
        <rFont val="맑은 고딕"/>
        <family val="3"/>
        <charset val="129"/>
        <scheme val="major"/>
      </rPr>
      <t xml:space="preserve">
</t>
    </r>
    <phoneticPr fontId="3" type="noConversion"/>
  </si>
  <si>
    <t xml:space="preserve">A30751712
</t>
    <phoneticPr fontId="3" type="noConversion"/>
  </si>
  <si>
    <t xml:space="preserve">A30751736
</t>
    <phoneticPr fontId="3" type="noConversion"/>
  </si>
  <si>
    <t xml:space="preserve">A30752003
</t>
    <phoneticPr fontId="3" type="noConversion"/>
  </si>
  <si>
    <t xml:space="preserve">A30951702
</t>
    <phoneticPr fontId="3" type="noConversion"/>
  </si>
  <si>
    <r>
      <rPr>
        <b/>
        <sz val="10"/>
        <rFont val="맑은 고딕"/>
        <family val="3"/>
        <charset val="129"/>
        <scheme val="major"/>
      </rPr>
      <t>A22903705</t>
    </r>
    <r>
      <rPr>
        <b/>
        <sz val="10"/>
        <color rgb="FFFF0000"/>
        <rFont val="맑은 고딕"/>
        <family val="3"/>
        <charset val="129"/>
        <scheme val="major"/>
      </rPr>
      <t xml:space="preserve">
</t>
    </r>
    <phoneticPr fontId="3" type="noConversion"/>
  </si>
  <si>
    <r>
      <t xml:space="preserve">  </t>
    </r>
    <r>
      <rPr>
        <b/>
        <sz val="10"/>
        <rFont val="맑은 고딕"/>
        <family val="3"/>
        <charset val="129"/>
      </rPr>
      <t>수</t>
    </r>
    <r>
      <rPr>
        <b/>
        <sz val="10"/>
        <rFont val="Trebuchet MS"/>
        <family val="2"/>
      </rPr>
      <t xml:space="preserve">  </t>
    </r>
    <r>
      <rPr>
        <b/>
        <sz val="10"/>
        <rFont val="맑은 고딕"/>
        <family val="3"/>
        <charset val="129"/>
      </rPr>
      <t>신</t>
    </r>
    <r>
      <rPr>
        <b/>
        <sz val="10"/>
        <rFont val="Trebuchet MS"/>
        <family val="2"/>
      </rPr>
      <t xml:space="preserve"> :</t>
    </r>
    <phoneticPr fontId="3" type="noConversion"/>
  </si>
  <si>
    <r>
      <t xml:space="preserve"> </t>
    </r>
    <r>
      <rPr>
        <sz val="10"/>
        <rFont val="맑은 고딕"/>
        <family val="3"/>
        <charset val="129"/>
      </rPr>
      <t>견적</t>
    </r>
    <r>
      <rPr>
        <sz val="10"/>
        <rFont val="Trebuchet MS"/>
        <family val="2"/>
      </rPr>
      <t xml:space="preserve"> </t>
    </r>
    <r>
      <rPr>
        <sz val="10"/>
        <rFont val="맑은 고딕"/>
        <family val="3"/>
        <charset val="129"/>
      </rPr>
      <t>번호</t>
    </r>
    <r>
      <rPr>
        <sz val="10"/>
        <rFont val="Trebuchet MS"/>
        <family val="2"/>
      </rPr>
      <t xml:space="preserve"> : 260419_SR01</t>
    </r>
    <phoneticPr fontId="20" type="noConversion"/>
  </si>
  <si>
    <r>
      <t xml:space="preserve"> </t>
    </r>
    <r>
      <rPr>
        <sz val="10"/>
        <rFont val="맑은 고딕"/>
        <family val="3"/>
        <charset val="129"/>
      </rPr>
      <t>견적</t>
    </r>
    <r>
      <rPr>
        <sz val="10"/>
        <rFont val="Trebuchet MS"/>
        <family val="2"/>
      </rPr>
      <t xml:space="preserve"> </t>
    </r>
    <r>
      <rPr>
        <sz val="10"/>
        <rFont val="맑은 고딕"/>
        <family val="3"/>
        <charset val="129"/>
      </rPr>
      <t>날짜</t>
    </r>
    <r>
      <rPr>
        <sz val="10"/>
        <rFont val="Trebuchet MS"/>
        <family val="2"/>
      </rPr>
      <t xml:space="preserve"> : 2026.04.19</t>
    </r>
    <phoneticPr fontId="20" type="noConversion"/>
  </si>
  <si>
    <t>49, Dujeonggongwon 2-gil, Seobuk-gu, Cheonan-si, Chungcheongnam-do, Korea. www.smartechvacuum.com</t>
    <phoneticPr fontId="3" type="noConversion"/>
  </si>
  <si>
    <t>재고관리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</si>
</sst>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);[Red]\(#,##0\)"/>
    <numFmt numFmtId="177" formatCode="0.00_);[Red]\(0.00\)"/>
    <numFmt numFmtId="178" formatCode="0_);[Red]\(0\)"/>
    <numFmt numFmtId="179" formatCode="_ * #,##0_ ;_ * \-#,##0_ ;_ * &quot;-&quot;_ ;_ @_ "/>
    <numFmt numFmtId="180" formatCode="&quot;₩&quot;#,##0_);[Red]\(&quot;₩&quot;#,##0\)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sz val="10"/>
      <name val="MS Sans Serif"/>
      <family val="2"/>
    </font>
    <font>
      <b/>
      <sz val="10"/>
      <color rgb="FFFF0000"/>
      <name val="맑은 고딕"/>
      <family val="3"/>
      <charset val="129"/>
      <scheme val="major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10"/>
      <color theme="1"/>
      <name val="맑은 고딕"/>
      <family val="2"/>
      <charset val="129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0"/>
      <name val="Trebuchet MS"/>
      <family val="2"/>
    </font>
    <font>
      <u/>
      <sz val="24"/>
      <color theme="1"/>
      <name val="Trebuchet MS"/>
      <family val="2"/>
    </font>
    <font>
      <u/>
      <sz val="24"/>
      <color theme="1"/>
      <name val="맑은 고딕"/>
      <family val="3"/>
      <charset val="129"/>
    </font>
    <font>
      <b/>
      <sz val="10"/>
      <name val="Trebuchet MS"/>
      <family val="3"/>
      <charset val="129"/>
    </font>
    <font>
      <b/>
      <sz val="10"/>
      <name val="Trebuchet MS"/>
      <family val="2"/>
    </font>
    <font>
      <sz val="8"/>
      <name val="돋움"/>
      <family val="3"/>
      <charset val="129"/>
    </font>
    <font>
      <b/>
      <sz val="10"/>
      <name val="새굴림"/>
      <family val="2"/>
      <charset val="129"/>
    </font>
    <font>
      <b/>
      <sz val="10"/>
      <name val="Trebuchet MS"/>
      <family val="1"/>
      <charset val="129"/>
    </font>
    <font>
      <b/>
      <sz val="10"/>
      <name val="새굴림"/>
      <family val="1"/>
      <charset val="129"/>
    </font>
    <font>
      <b/>
      <sz val="10"/>
      <name val="돋움"/>
      <family val="2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u/>
      <sz val="10"/>
      <color indexed="12"/>
      <name val="Trebuchet MS"/>
      <family val="2"/>
    </font>
    <font>
      <sz val="10"/>
      <name val="돋움"/>
      <family val="2"/>
      <charset val="129"/>
    </font>
    <font>
      <b/>
      <sz val="9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179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41" fontId="11" fillId="0" borderId="1" xfId="15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78" fontId="4" fillId="2" borderId="3" xfId="1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76" fontId="4" fillId="2" borderId="3" xfId="2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 vertical="center" wrapText="1"/>
    </xf>
    <xf numFmtId="178" fontId="10" fillId="0" borderId="1" xfId="7" applyNumberFormat="1" applyFont="1" applyBorder="1" applyAlignment="1">
      <alignment horizontal="center" vertical="center" wrapText="1"/>
    </xf>
    <xf numFmtId="0" fontId="10" fillId="0" borderId="1" xfId="6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 wrapText="1"/>
    </xf>
    <xf numFmtId="178" fontId="10" fillId="0" borderId="1" xfId="4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1" fontId="10" fillId="0" borderId="1" xfId="0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78" fontId="10" fillId="0" borderId="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0" fontId="10" fillId="0" borderId="1" xfId="1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5" fillId="3" borderId="0" xfId="0" applyFont="1" applyFill="1" applyAlignment="1"/>
    <xf numFmtId="0" fontId="15" fillId="0" borderId="0" xfId="0" applyFont="1" applyAlignment="1"/>
    <xf numFmtId="0" fontId="18" fillId="3" borderId="0" xfId="0" applyFont="1" applyFill="1" applyAlignment="1"/>
    <xf numFmtId="0" fontId="22" fillId="3" borderId="0" xfId="0" applyFont="1" applyFill="1" applyAlignment="1"/>
    <xf numFmtId="0" fontId="19" fillId="3" borderId="0" xfId="0" applyFont="1" applyFill="1" applyAlignment="1"/>
    <xf numFmtId="0" fontId="14" fillId="3" borderId="0" xfId="20" applyFill="1" applyAlignment="1" applyProtection="1"/>
    <xf numFmtId="14" fontId="15" fillId="3" borderId="0" xfId="0" applyNumberFormat="1" applyFont="1" applyFill="1" applyAlignment="1">
      <alignment horizontal="left"/>
    </xf>
    <xf numFmtId="0" fontId="27" fillId="3" borderId="0" xfId="20" applyFont="1" applyFill="1" applyAlignment="1" applyProtection="1"/>
    <xf numFmtId="0" fontId="12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 shrinkToFit="1"/>
    </xf>
    <xf numFmtId="0" fontId="15" fillId="3" borderId="1" xfId="0" applyFont="1" applyFill="1" applyBorder="1" applyAlignment="1">
      <alignment horizontal="center" vertical="center"/>
    </xf>
    <xf numFmtId="41" fontId="15" fillId="3" borderId="1" xfId="15" applyFont="1" applyFill="1" applyBorder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 shrinkToFit="1"/>
    </xf>
    <xf numFmtId="0" fontId="15" fillId="3" borderId="0" xfId="0" applyFont="1" applyFill="1" applyAlignment="1">
      <alignment horizontal="center" vertical="center"/>
    </xf>
    <xf numFmtId="176" fontId="15" fillId="3" borderId="0" xfId="0" applyNumberFormat="1" applyFont="1" applyFill="1">
      <alignment vertical="center"/>
    </xf>
    <xf numFmtId="11" fontId="15" fillId="3" borderId="0" xfId="0" applyNumberFormat="1" applyFont="1" applyFill="1" applyAlignment="1">
      <alignment horizontal="left"/>
    </xf>
    <xf numFmtId="0" fontId="15" fillId="3" borderId="0" xfId="0" applyFont="1" applyFill="1" applyAlignment="1">
      <alignment horizontal="left"/>
    </xf>
    <xf numFmtId="180" fontId="15" fillId="3" borderId="1" xfId="0" applyNumberFormat="1" applyFont="1" applyFill="1" applyBorder="1" applyAlignment="1">
      <alignment horizontal="right"/>
    </xf>
    <xf numFmtId="0" fontId="15" fillId="3" borderId="0" xfId="0" applyFont="1" applyFill="1" applyAlignment="1">
      <alignment horizontal="center"/>
    </xf>
    <xf numFmtId="0" fontId="15" fillId="3" borderId="0" xfId="0" applyFont="1" applyFill="1" applyAlignment="1">
      <alignment horizontal="right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29" fillId="3" borderId="4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</cellXfs>
  <cellStyles count="21">
    <cellStyle name="쉼표 [0]" xfId="15" builtinId="6"/>
    <cellStyle name="쉼표 [0] 10 2" xfId="5" xr:uid="{7654DCED-9ABA-4AEA-AB2C-E8C4F6DC59BE}"/>
    <cellStyle name="쉼표 [0] 10 2 2" xfId="17" xr:uid="{35215C9C-C060-4DEB-B6F3-FFFFF1F26A8D}"/>
    <cellStyle name="쉼표 [0] 2" xfId="19" xr:uid="{944794F6-814D-4B18-A8F5-6D1DEB687FB8}"/>
    <cellStyle name="쉼표 [0] 4" xfId="10" xr:uid="{227A6C90-0F95-4683-BD9F-8F50AD125479}"/>
    <cellStyle name="쉼표 [0] 5" xfId="3" xr:uid="{DE241B4D-ECF3-4206-924E-032CEA5E4DCD}"/>
    <cellStyle name="쉼표 [0] 5 2" xfId="16" xr:uid="{B5CC618C-B31D-4C43-86FF-DDF177FD1874}"/>
    <cellStyle name="표준" xfId="0" builtinId="0"/>
    <cellStyle name="표준 2" xfId="14" xr:uid="{06A22217-194F-48EE-9FBC-4FE29254CCA0}"/>
    <cellStyle name="표준 4 5" xfId="7" xr:uid="{DF5811E6-F79B-47BC-BD3F-0F409E02755B}"/>
    <cellStyle name="표준 55" xfId="1" xr:uid="{BA2AE3F4-A866-4B0E-BF60-6F4D2BE8F27E}"/>
    <cellStyle name="표준 56" xfId="6" xr:uid="{57A1C647-41CD-46D9-8022-FD23239192EB}"/>
    <cellStyle name="표준 57" xfId="8" xr:uid="{55655FF9-6097-4E08-9E0C-DF4B49581C6B}"/>
    <cellStyle name="표준 62" xfId="13" xr:uid="{93ADFC04-D81F-4264-AAB3-30F080BE2BFE}"/>
    <cellStyle name="표준 62 2" xfId="18" xr:uid="{DA96E5CC-D548-4640-B228-90F0B7EA91AC}"/>
    <cellStyle name="표준 64" xfId="9" xr:uid="{6897FC3B-8353-4349-BA7E-2BE0E868A1F5}"/>
    <cellStyle name="표준 65" xfId="12" xr:uid="{B00C519A-E0E4-4068-A69E-7F38FDA3D1EB}"/>
    <cellStyle name="표준 73" xfId="4" xr:uid="{422055B4-3445-4B1B-B918-AD633A4C42E1}"/>
    <cellStyle name="표준_견적서양식" xfId="2" xr:uid="{AB20ABF4-0F31-46C3-83BF-6EE275365310}"/>
    <cellStyle name="하이퍼링크" xfId="20" builtinId="8"/>
    <cellStyle name="하이퍼링크 2" xfId="11" xr:uid="{96DE65CC-B3D7-4912-9691-E476E44B0FDE}"/>
  </cellStyles>
  <dxfs count="0"/>
  <tableStyles count="0" defaultTableStyle="TableStyleMedium2" defaultPivotStyle="PivotStyleLight16"/>
  <colors>
    <mruColors>
      <color rgb="FF0E0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173356</xdr:colOff>
      <xdr:row>0</xdr:row>
      <xdr:rowOff>93344</xdr:rowOff>
    </xdr:from>
    <xdr:to>
      <xdr:col>1</xdr:col>
      <xdr:colOff>293371</xdr:colOff>
      <xdr:row>1</xdr:row>
      <xdr:rowOff>159079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7D8BEDC-5F23-4D54-83DB-E34540E3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6" y="93344"/>
          <a:ext cx="1224915" cy="246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1021080</xdr:colOff>
      <xdr:row>9</xdr:row>
      <xdr:rowOff>137160</xdr:rowOff>
    </xdr:from>
    <xdr:to>
      <xdr:col>5</xdr:col>
      <xdr:colOff>1544533</xdr:colOff>
      <xdr:row>11</xdr:row>
      <xdr:rowOff>196215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BD4488-B021-4D26-B49D-F481F8630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2124075"/>
          <a:ext cx="527263" cy="521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virtualoffice-my.sharepoint.com/personal/anthony_kim_edwardsvacuum_com/Documents/Desktop/Project/Parts/Client/Quote/&#53680;&#48177;/240221-AK02_Nikkiso_Apiezon%20Oil.xlsx" TargetMode="External"/><Relationship Id="rId1" Type="http://schemas.openxmlformats.org/officeDocument/2006/relationships/externalLinkPath" Target="https://onevirtualoffice-my.sharepoint.com/personal/anthony_kim_edwardsvacuum_com/Documents/Desktop/Project/&#45824;&#47532;&#51216;%20&#48120;&#54021;/Client/Quote/&#53680;&#48177;/240221-AK02_Nikkiso_Apiezon%20O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견적서"/>
      <sheetName val="MASTER DATA"/>
      <sheetName val="UGP"/>
      <sheetName val="Sheet2"/>
    </sheetNames>
    <sheetDataSet>
      <sheetData sheetId="0"/>
      <sheetData sheetId="1">
        <row r="3">
          <cell r="F3" t="str">
            <v xml:space="preserve">납품후 30일 현금 </v>
          </cell>
        </row>
        <row r="4">
          <cell r="F4" t="str">
            <v>납품후 60일 현금</v>
          </cell>
        </row>
        <row r="5">
          <cell r="F5" t="str">
            <v>납품전 선금 (현금)</v>
          </cell>
        </row>
        <row r="6">
          <cell r="F6" t="str">
            <v>납품후 90일 현금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martechvacu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0F2-D9B0-4CE8-A254-218E4300788B}">
  <sheetPr>
    <pageSetUpPr fitToPage="1"/>
  </sheetPr>
  <dimension ref="A2:Y916"/>
  <sheetViews>
    <sheetView tabSelected="1" view="pageBreakPreview" zoomScale="115" zoomScaleNormal="85" zoomScaleSheetLayoutView="115" workbookViewId="0">
      <pane ySplit="1" topLeftCell="A2" activePane="bottomLeft" state="frozen"/>
      <selection pane="bottomLeft" activeCell="A2" sqref="A2"/>
    </sheetView>
  </sheetViews>
  <sheetFormatPr defaultColWidth="9" defaultRowHeight="26.25" customHeight="1" x14ac:dyDescent="0.4"/>
  <cols>
    <col min="1" max="1" width="17.09765625" style="1" customWidth="1"/>
    <col min="2" max="2" width="15.796875" style="1" customWidth="1"/>
    <col min="3" max="3" width="47.8984375" style="1" bestFit="1" customWidth="1"/>
    <col min="4" max="4" width="14.59765625" style="4" customWidth="1"/>
    <col min="5" max="16384" width="9" style="1"/>
  </cols>
  <sheetData>
    <row r="2" spans="1:4" ht="50.1" customHeight="1" thickBot="1" x14ac:dyDescent="0.45">
      <c r="A2" s="8" t="s">
        <v>1850</v>
      </c>
      <c r="B2" s="9" t="s">
        <v>0</v>
      </c>
      <c r="C2" s="10" t="s">
        <v>1</v>
      </c>
      <c r="D2" s="11" t="s">
        <v>936</v>
      </c>
    </row>
    <row r="3" spans="1:4" ht="26.25" customHeight="1" thickBot="1" x14ac:dyDescent="0.45">
      <c r="A3" s="62"/>
      <c r="B3" s="6" t="s">
        <v>1523</v>
      </c>
      <c r="C3" s="6" t="s">
        <v>1524</v>
      </c>
      <c r="D3" s="7">
        <v>24600000</v>
      </c>
    </row>
    <row r="4" spans="1:4" ht="26.25" customHeight="1" thickBot="1" x14ac:dyDescent="0.45">
      <c r="A4" s="62"/>
      <c r="B4" s="6" t="s">
        <v>1525</v>
      </c>
      <c r="C4" s="6" t="s">
        <v>1526</v>
      </c>
      <c r="D4" s="7">
        <v>24600000</v>
      </c>
    </row>
    <row r="5" spans="1:4" ht="26.25" customHeight="1" thickBot="1" x14ac:dyDescent="0.45">
      <c r="A5" s="62"/>
      <c r="B5" s="6" t="s">
        <v>1527</v>
      </c>
      <c r="C5" s="6" t="s">
        <v>1528</v>
      </c>
      <c r="D5" s="7">
        <v>24600000</v>
      </c>
    </row>
    <row r="6" spans="1:4" ht="26.25" customHeight="1" thickBot="1" x14ac:dyDescent="0.45">
      <c r="A6" s="62"/>
      <c r="B6" s="6" t="s">
        <v>1529</v>
      </c>
      <c r="C6" s="6" t="s">
        <v>1530</v>
      </c>
      <c r="D6" s="7">
        <v>24600000</v>
      </c>
    </row>
    <row r="7" spans="1:4" ht="26.25" customHeight="1" thickBot="1" x14ac:dyDescent="0.45">
      <c r="A7" s="62"/>
      <c r="B7" s="6" t="s">
        <v>1531</v>
      </c>
      <c r="C7" s="6" t="s">
        <v>1532</v>
      </c>
      <c r="D7" s="7">
        <v>24600000</v>
      </c>
    </row>
    <row r="8" spans="1:4" ht="26.25" customHeight="1" thickBot="1" x14ac:dyDescent="0.45">
      <c r="A8" s="62"/>
      <c r="B8" s="6" t="s">
        <v>1533</v>
      </c>
      <c r="C8" s="6" t="s">
        <v>1534</v>
      </c>
      <c r="D8" s="7">
        <v>21200000</v>
      </c>
    </row>
    <row r="9" spans="1:4" ht="26.25" customHeight="1" thickBot="1" x14ac:dyDescent="0.45">
      <c r="A9" s="62"/>
      <c r="B9" s="6" t="s">
        <v>1535</v>
      </c>
      <c r="C9" s="6" t="s">
        <v>1536</v>
      </c>
      <c r="D9" s="7">
        <v>21200000</v>
      </c>
    </row>
    <row r="10" spans="1:4" ht="26.25" customHeight="1" thickBot="1" x14ac:dyDescent="0.45">
      <c r="A10" s="62"/>
      <c r="B10" s="6" t="s">
        <v>1537</v>
      </c>
      <c r="C10" s="6" t="s">
        <v>1538</v>
      </c>
      <c r="D10" s="7">
        <v>21200000</v>
      </c>
    </row>
    <row r="11" spans="1:4" ht="26.25" customHeight="1" thickBot="1" x14ac:dyDescent="0.45">
      <c r="A11" s="62"/>
      <c r="B11" s="6" t="s">
        <v>1539</v>
      </c>
      <c r="C11" s="6" t="s">
        <v>1540</v>
      </c>
      <c r="D11" s="7">
        <v>21200000</v>
      </c>
    </row>
    <row r="12" spans="1:4" ht="26.25" customHeight="1" thickBot="1" x14ac:dyDescent="0.45">
      <c r="A12" s="62"/>
      <c r="B12" s="6" t="s">
        <v>1541</v>
      </c>
      <c r="C12" s="6" t="s">
        <v>1542</v>
      </c>
      <c r="D12" s="7">
        <v>21200000</v>
      </c>
    </row>
    <row r="13" spans="1:4" ht="26.25" customHeight="1" thickBot="1" x14ac:dyDescent="0.45">
      <c r="A13" s="62"/>
      <c r="B13" s="6" t="s">
        <v>1543</v>
      </c>
      <c r="C13" s="6" t="s">
        <v>1544</v>
      </c>
      <c r="D13" s="7">
        <v>25400000</v>
      </c>
    </row>
    <row r="14" spans="1:4" ht="26.25" customHeight="1" thickBot="1" x14ac:dyDescent="0.45">
      <c r="A14" s="62"/>
      <c r="B14" s="6" t="s">
        <v>1545</v>
      </c>
      <c r="C14" s="6" t="s">
        <v>1546</v>
      </c>
      <c r="D14" s="7">
        <v>25400000</v>
      </c>
    </row>
    <row r="15" spans="1:4" ht="26.25" customHeight="1" thickBot="1" x14ac:dyDescent="0.45">
      <c r="A15" s="62"/>
      <c r="B15" s="6" t="s">
        <v>1547</v>
      </c>
      <c r="C15" s="6" t="s">
        <v>1548</v>
      </c>
      <c r="D15" s="7">
        <v>25400000</v>
      </c>
    </row>
    <row r="16" spans="1:4" ht="26.25" customHeight="1" thickBot="1" x14ac:dyDescent="0.45">
      <c r="A16" s="62"/>
      <c r="B16" s="6" t="s">
        <v>1549</v>
      </c>
      <c r="C16" s="6" t="s">
        <v>1550</v>
      </c>
      <c r="D16" s="7">
        <v>25400000</v>
      </c>
    </row>
    <row r="17" spans="1:4" ht="26.25" customHeight="1" thickBot="1" x14ac:dyDescent="0.45">
      <c r="A17" s="62"/>
      <c r="B17" s="6" t="s">
        <v>1551</v>
      </c>
      <c r="C17" s="6" t="s">
        <v>1552</v>
      </c>
      <c r="D17" s="7">
        <v>25400000</v>
      </c>
    </row>
    <row r="18" spans="1:4" ht="26.25" customHeight="1" thickBot="1" x14ac:dyDescent="0.45">
      <c r="A18" s="62"/>
      <c r="B18" s="6" t="s">
        <v>1553</v>
      </c>
      <c r="C18" s="6" t="s">
        <v>1554</v>
      </c>
      <c r="D18" s="7">
        <v>22300000</v>
      </c>
    </row>
    <row r="19" spans="1:4" ht="26.25" customHeight="1" thickBot="1" x14ac:dyDescent="0.45">
      <c r="A19" s="62"/>
      <c r="B19" s="6" t="s">
        <v>1555</v>
      </c>
      <c r="C19" s="6" t="s">
        <v>1556</v>
      </c>
      <c r="D19" s="7">
        <v>22300000</v>
      </c>
    </row>
    <row r="20" spans="1:4" ht="26.25" customHeight="1" thickBot="1" x14ac:dyDescent="0.45">
      <c r="A20" s="62"/>
      <c r="B20" s="6" t="s">
        <v>1557</v>
      </c>
      <c r="C20" s="6" t="s">
        <v>1558</v>
      </c>
      <c r="D20" s="7">
        <v>22300000</v>
      </c>
    </row>
    <row r="21" spans="1:4" ht="26.25" customHeight="1" thickBot="1" x14ac:dyDescent="0.45">
      <c r="A21" s="62"/>
      <c r="B21" s="6" t="s">
        <v>1559</v>
      </c>
      <c r="C21" s="6" t="s">
        <v>1560</v>
      </c>
      <c r="D21" s="7">
        <v>22500000</v>
      </c>
    </row>
    <row r="22" spans="1:4" ht="26.25" customHeight="1" thickBot="1" x14ac:dyDescent="0.45">
      <c r="A22" s="62"/>
      <c r="B22" s="6" t="s">
        <v>1561</v>
      </c>
      <c r="C22" s="6" t="s">
        <v>1562</v>
      </c>
      <c r="D22" s="7">
        <v>22300000</v>
      </c>
    </row>
    <row r="23" spans="1:4" ht="26.25" customHeight="1" thickBot="1" x14ac:dyDescent="0.45">
      <c r="A23" s="62"/>
      <c r="B23" s="6" t="s">
        <v>1563</v>
      </c>
      <c r="C23" s="6" t="s">
        <v>1564</v>
      </c>
      <c r="D23" s="7">
        <v>27600000</v>
      </c>
    </row>
    <row r="24" spans="1:4" ht="26.25" customHeight="1" thickBot="1" x14ac:dyDescent="0.45">
      <c r="A24" s="62"/>
      <c r="B24" s="6" t="s">
        <v>1565</v>
      </c>
      <c r="C24" s="6" t="s">
        <v>1566</v>
      </c>
      <c r="D24" s="7">
        <v>27600000</v>
      </c>
    </row>
    <row r="25" spans="1:4" ht="26.25" customHeight="1" thickBot="1" x14ac:dyDescent="0.45">
      <c r="A25" s="62"/>
      <c r="B25" s="6" t="s">
        <v>1567</v>
      </c>
      <c r="C25" s="6" t="s">
        <v>1568</v>
      </c>
      <c r="D25" s="7">
        <v>27600000</v>
      </c>
    </row>
    <row r="26" spans="1:4" ht="26.25" customHeight="1" thickBot="1" x14ac:dyDescent="0.45">
      <c r="A26" s="62"/>
      <c r="B26" s="6" t="s">
        <v>1569</v>
      </c>
      <c r="C26" s="6" t="s">
        <v>1570</v>
      </c>
      <c r="D26" s="7">
        <v>27600000</v>
      </c>
    </row>
    <row r="27" spans="1:4" ht="26.25" customHeight="1" thickBot="1" x14ac:dyDescent="0.45">
      <c r="A27" s="62"/>
      <c r="B27" s="6" t="s">
        <v>1571</v>
      </c>
      <c r="C27" s="6" t="s">
        <v>1572</v>
      </c>
      <c r="D27" s="7">
        <v>27600000</v>
      </c>
    </row>
    <row r="28" spans="1:4" ht="26.25" customHeight="1" thickBot="1" x14ac:dyDescent="0.45">
      <c r="A28" s="62"/>
      <c r="B28" s="6" t="s">
        <v>1573</v>
      </c>
      <c r="C28" s="6" t="s">
        <v>1574</v>
      </c>
      <c r="D28" s="7">
        <v>18800000</v>
      </c>
    </row>
    <row r="29" spans="1:4" ht="26.25" customHeight="1" thickBot="1" x14ac:dyDescent="0.45">
      <c r="A29" s="62"/>
      <c r="B29" s="6" t="s">
        <v>1575</v>
      </c>
      <c r="C29" s="6" t="s">
        <v>1576</v>
      </c>
      <c r="D29" s="7">
        <v>18200000</v>
      </c>
    </row>
    <row r="30" spans="1:4" ht="26.25" customHeight="1" thickBot="1" x14ac:dyDescent="0.45">
      <c r="A30" s="62"/>
      <c r="B30" s="6" t="s">
        <v>1577</v>
      </c>
      <c r="C30" s="6" t="s">
        <v>1578</v>
      </c>
      <c r="D30" s="7">
        <v>18800000</v>
      </c>
    </row>
    <row r="31" spans="1:4" ht="26.25" customHeight="1" thickBot="1" x14ac:dyDescent="0.45">
      <c r="A31" s="62"/>
      <c r="B31" s="6" t="s">
        <v>1579</v>
      </c>
      <c r="C31" s="6" t="s">
        <v>1580</v>
      </c>
      <c r="D31" s="7">
        <v>29400000</v>
      </c>
    </row>
    <row r="32" spans="1:4" ht="26.25" customHeight="1" thickBot="1" x14ac:dyDescent="0.45">
      <c r="A32" s="62"/>
      <c r="B32" s="6" t="s">
        <v>1581</v>
      </c>
      <c r="C32" s="6" t="s">
        <v>1582</v>
      </c>
      <c r="D32" s="7">
        <v>28400000</v>
      </c>
    </row>
    <row r="33" spans="1:4" ht="26.25" customHeight="1" thickBot="1" x14ac:dyDescent="0.45">
      <c r="A33" s="62"/>
      <c r="B33" s="6" t="s">
        <v>1583</v>
      </c>
      <c r="C33" s="6" t="s">
        <v>1584</v>
      </c>
      <c r="D33" s="7">
        <v>29400000</v>
      </c>
    </row>
    <row r="34" spans="1:4" ht="26.25" customHeight="1" thickBot="1" x14ac:dyDescent="0.45">
      <c r="A34" s="62"/>
      <c r="B34" s="6" t="s">
        <v>1585</v>
      </c>
      <c r="C34" s="6" t="s">
        <v>1586</v>
      </c>
      <c r="D34" s="7">
        <v>18600000</v>
      </c>
    </row>
    <row r="35" spans="1:4" ht="26.25" customHeight="1" thickBot="1" x14ac:dyDescent="0.45">
      <c r="A35" s="62"/>
      <c r="B35" s="6" t="s">
        <v>1587</v>
      </c>
      <c r="C35" s="6" t="s">
        <v>1588</v>
      </c>
      <c r="D35" s="7">
        <v>19600000</v>
      </c>
    </row>
    <row r="36" spans="1:4" ht="26.25" customHeight="1" thickBot="1" x14ac:dyDescent="0.45">
      <c r="A36" s="62"/>
      <c r="B36" s="6" t="s">
        <v>1589</v>
      </c>
      <c r="C36" s="6" t="s">
        <v>1590</v>
      </c>
      <c r="D36" s="7">
        <v>19600000</v>
      </c>
    </row>
    <row r="37" spans="1:4" ht="26.25" customHeight="1" thickBot="1" x14ac:dyDescent="0.45">
      <c r="A37" s="62"/>
      <c r="B37" s="6" t="s">
        <v>1591</v>
      </c>
      <c r="C37" s="6" t="s">
        <v>1592</v>
      </c>
      <c r="D37" s="7">
        <v>29300000</v>
      </c>
    </row>
    <row r="38" spans="1:4" ht="26.25" customHeight="1" thickBot="1" x14ac:dyDescent="0.45">
      <c r="A38" s="62"/>
      <c r="B38" s="6" t="s">
        <v>1593</v>
      </c>
      <c r="C38" s="6" t="s">
        <v>1594</v>
      </c>
      <c r="D38" s="7">
        <v>30300000</v>
      </c>
    </row>
    <row r="39" spans="1:4" ht="26.25" customHeight="1" thickBot="1" x14ac:dyDescent="0.45">
      <c r="A39" s="62"/>
      <c r="B39" s="6" t="s">
        <v>1595</v>
      </c>
      <c r="C39" s="6" t="s">
        <v>1596</v>
      </c>
      <c r="D39" s="7">
        <v>30300000</v>
      </c>
    </row>
    <row r="40" spans="1:4" ht="26.25" customHeight="1" thickBot="1" x14ac:dyDescent="0.45">
      <c r="A40" s="62"/>
      <c r="B40" s="6" t="s">
        <v>1597</v>
      </c>
      <c r="C40" s="6" t="s">
        <v>1598</v>
      </c>
      <c r="D40" s="7">
        <v>27800000</v>
      </c>
    </row>
    <row r="41" spans="1:4" ht="26.25" customHeight="1" thickBot="1" x14ac:dyDescent="0.45">
      <c r="A41" s="62"/>
      <c r="B41" s="6" t="s">
        <v>1599</v>
      </c>
      <c r="C41" s="6" t="s">
        <v>1600</v>
      </c>
      <c r="D41" s="7">
        <v>27800000</v>
      </c>
    </row>
    <row r="42" spans="1:4" ht="26.25" customHeight="1" thickBot="1" x14ac:dyDescent="0.45">
      <c r="A42" s="62"/>
      <c r="B42" s="6" t="s">
        <v>1601</v>
      </c>
      <c r="C42" s="6" t="s">
        <v>1602</v>
      </c>
      <c r="D42" s="7">
        <v>39400000</v>
      </c>
    </row>
    <row r="43" spans="1:4" ht="26.25" customHeight="1" thickBot="1" x14ac:dyDescent="0.45">
      <c r="A43" s="62"/>
      <c r="B43" s="6" t="s">
        <v>1603</v>
      </c>
      <c r="C43" s="6" t="s">
        <v>1604</v>
      </c>
      <c r="D43" s="7">
        <v>38000000</v>
      </c>
    </row>
    <row r="44" spans="1:4" ht="26.25" customHeight="1" thickBot="1" x14ac:dyDescent="0.45">
      <c r="A44" s="62"/>
      <c r="B44" s="6" t="s">
        <v>1605</v>
      </c>
      <c r="C44" s="6" t="s">
        <v>1606</v>
      </c>
      <c r="D44" s="7">
        <v>39400000</v>
      </c>
    </row>
    <row r="45" spans="1:4" ht="26.25" customHeight="1" thickBot="1" x14ac:dyDescent="0.45">
      <c r="A45" s="62"/>
      <c r="B45" s="6" t="s">
        <v>1607</v>
      </c>
      <c r="C45" s="6" t="s">
        <v>1608</v>
      </c>
      <c r="D45" s="7">
        <v>44000000</v>
      </c>
    </row>
    <row r="46" spans="1:4" ht="26.25" customHeight="1" thickBot="1" x14ac:dyDescent="0.45">
      <c r="A46" s="62"/>
      <c r="B46" s="6" t="s">
        <v>1609</v>
      </c>
      <c r="C46" s="6" t="s">
        <v>1610</v>
      </c>
      <c r="D46" s="7">
        <v>42800000</v>
      </c>
    </row>
    <row r="47" spans="1:4" ht="26.25" customHeight="1" thickBot="1" x14ac:dyDescent="0.45">
      <c r="A47" s="62"/>
      <c r="B47" s="6" t="s">
        <v>1611</v>
      </c>
      <c r="C47" s="6" t="s">
        <v>1612</v>
      </c>
      <c r="D47" s="7">
        <v>44000000</v>
      </c>
    </row>
    <row r="48" spans="1:4" ht="26.25" customHeight="1" thickBot="1" x14ac:dyDescent="0.45">
      <c r="A48" s="62"/>
      <c r="B48" s="6" t="s">
        <v>1613</v>
      </c>
      <c r="C48" s="6" t="s">
        <v>1614</v>
      </c>
      <c r="D48" s="7">
        <v>35600000</v>
      </c>
    </row>
    <row r="49" spans="1:25" ht="26.25" customHeight="1" thickBot="1" x14ac:dyDescent="0.45">
      <c r="A49" s="62"/>
      <c r="B49" s="6" t="s">
        <v>1615</v>
      </c>
      <c r="C49" s="6" t="s">
        <v>1616</v>
      </c>
      <c r="D49" s="7">
        <v>38500000</v>
      </c>
    </row>
    <row r="50" spans="1:25" ht="26.25" customHeight="1" thickBot="1" x14ac:dyDescent="0.45">
      <c r="A50" s="62"/>
      <c r="B50" s="6" t="s">
        <v>1617</v>
      </c>
      <c r="C50" s="6" t="s">
        <v>1618</v>
      </c>
      <c r="D50" s="7">
        <v>41800000</v>
      </c>
    </row>
    <row r="51" spans="1:25" ht="26.25" customHeight="1" thickBot="1" x14ac:dyDescent="0.45">
      <c r="A51" s="62"/>
      <c r="B51" s="6" t="s">
        <v>1619</v>
      </c>
      <c r="C51" s="6" t="s">
        <v>1620</v>
      </c>
      <c r="D51" s="7">
        <v>43800000</v>
      </c>
    </row>
    <row r="52" spans="1:25" ht="26.25" customHeight="1" thickBot="1" x14ac:dyDescent="0.45">
      <c r="A52" s="62"/>
      <c r="B52" s="6" t="s">
        <v>1621</v>
      </c>
      <c r="C52" s="6" t="s">
        <v>1622</v>
      </c>
      <c r="D52" s="7">
        <v>47300000</v>
      </c>
    </row>
    <row r="53" spans="1:25" ht="26.25" customHeight="1" thickBot="1" x14ac:dyDescent="0.45">
      <c r="A53" s="62"/>
      <c r="B53" s="6" t="s">
        <v>1623</v>
      </c>
      <c r="C53" s="6" t="s">
        <v>1624</v>
      </c>
      <c r="D53" s="7">
        <v>48500000</v>
      </c>
    </row>
    <row r="54" spans="1:25" ht="26.25" customHeight="1" thickBot="1" x14ac:dyDescent="0.45">
      <c r="A54" s="62"/>
      <c r="B54" s="6" t="s">
        <v>1625</v>
      </c>
      <c r="C54" s="6" t="s">
        <v>1626</v>
      </c>
      <c r="D54" s="7">
        <v>49900000</v>
      </c>
    </row>
    <row r="55" spans="1:25" ht="26.25" customHeight="1" thickBot="1" x14ac:dyDescent="0.45">
      <c r="A55" s="62"/>
      <c r="B55" s="6" t="s">
        <v>1627</v>
      </c>
      <c r="C55" s="6" t="s">
        <v>1628</v>
      </c>
      <c r="D55" s="7">
        <v>49900000</v>
      </c>
    </row>
    <row r="56" spans="1:25" ht="26.25" customHeight="1" thickBot="1" x14ac:dyDescent="0.45">
      <c r="A56" s="62"/>
      <c r="B56" s="6" t="s">
        <v>1629</v>
      </c>
      <c r="C56" s="6" t="s">
        <v>1630</v>
      </c>
      <c r="D56" s="7">
        <v>50900000</v>
      </c>
    </row>
    <row r="57" spans="1:25" ht="26.25" customHeight="1" thickBot="1" x14ac:dyDescent="0.45">
      <c r="A57" s="62"/>
      <c r="B57" s="6" t="s">
        <v>1631</v>
      </c>
      <c r="C57" s="6" t="s">
        <v>1632</v>
      </c>
      <c r="D57" s="7">
        <v>50900000</v>
      </c>
    </row>
    <row r="58" spans="1:25" ht="26.25" customHeight="1" thickBot="1" x14ac:dyDescent="0.45">
      <c r="A58" s="62"/>
      <c r="B58" s="6" t="s">
        <v>1633</v>
      </c>
      <c r="C58" s="6" t="s">
        <v>1634</v>
      </c>
      <c r="D58" s="7">
        <v>16200000</v>
      </c>
    </row>
    <row r="59" spans="1:25" ht="26.25" customHeight="1" thickBot="1" x14ac:dyDescent="0.45">
      <c r="A59" s="62"/>
      <c r="B59" s="6" t="s">
        <v>1635</v>
      </c>
      <c r="C59" s="6" t="s">
        <v>1636</v>
      </c>
      <c r="D59" s="7">
        <v>16200000</v>
      </c>
    </row>
    <row r="60" spans="1:25" ht="26.25" customHeight="1" thickBot="1" x14ac:dyDescent="0.45">
      <c r="A60" s="62"/>
      <c r="B60" s="6" t="s">
        <v>1637</v>
      </c>
      <c r="C60" s="6" t="s">
        <v>1638</v>
      </c>
      <c r="D60" s="7">
        <v>26500000</v>
      </c>
    </row>
    <row r="61" spans="1:25" ht="26.25" customHeight="1" thickBot="1" x14ac:dyDescent="0.45">
      <c r="A61" s="62"/>
      <c r="B61" s="6" t="s">
        <v>1639</v>
      </c>
      <c r="C61" s="6" t="s">
        <v>1640</v>
      </c>
      <c r="D61" s="7">
        <v>26500000</v>
      </c>
    </row>
    <row r="62" spans="1:25" ht="26.25" customHeight="1" thickBot="1" x14ac:dyDescent="0.45">
      <c r="A62" s="62"/>
      <c r="B62" s="6" t="s">
        <v>1641</v>
      </c>
      <c r="C62" s="6" t="s">
        <v>1642</v>
      </c>
      <c r="D62" s="7">
        <v>17300000</v>
      </c>
    </row>
    <row r="63" spans="1:25" ht="26.25" customHeight="1" thickBot="1" x14ac:dyDescent="0.45">
      <c r="A63" s="62"/>
      <c r="B63" s="6" t="s">
        <v>1643</v>
      </c>
      <c r="C63" s="6" t="s">
        <v>1644</v>
      </c>
      <c r="D63" s="7">
        <v>17300000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26.25" customHeight="1" thickBot="1" x14ac:dyDescent="0.45">
      <c r="A64" s="62"/>
      <c r="B64" s="6" t="s">
        <v>1645</v>
      </c>
      <c r="C64" s="6" t="s">
        <v>1646</v>
      </c>
      <c r="D64" s="7">
        <v>28300000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26.25" customHeight="1" thickBot="1" x14ac:dyDescent="0.45">
      <c r="A65" s="62"/>
      <c r="B65" s="6" t="s">
        <v>1647</v>
      </c>
      <c r="C65" s="6" t="s">
        <v>1648</v>
      </c>
      <c r="D65" s="7">
        <v>28300000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26.25" customHeight="1" thickBot="1" x14ac:dyDescent="0.45">
      <c r="A66" s="62"/>
      <c r="B66" s="6" t="s">
        <v>1649</v>
      </c>
      <c r="C66" s="6" t="s">
        <v>1650</v>
      </c>
      <c r="D66" s="7">
        <v>23400000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26.25" customHeight="1" thickBot="1" x14ac:dyDescent="0.45">
      <c r="A67" s="62"/>
      <c r="B67" s="6" t="s">
        <v>1651</v>
      </c>
      <c r="C67" s="6" t="s">
        <v>1652</v>
      </c>
      <c r="D67" s="7">
        <v>23600000</v>
      </c>
    </row>
    <row r="68" spans="1:25" ht="26.25" customHeight="1" thickBot="1" x14ac:dyDescent="0.45">
      <c r="A68" s="62"/>
      <c r="B68" s="6" t="s">
        <v>1653</v>
      </c>
      <c r="C68" s="6" t="s">
        <v>1654</v>
      </c>
      <c r="D68" s="7">
        <v>24900000</v>
      </c>
    </row>
    <row r="69" spans="1:25" ht="26.25" customHeight="1" thickBot="1" x14ac:dyDescent="0.45">
      <c r="A69" s="62"/>
      <c r="B69" s="6" t="s">
        <v>1655</v>
      </c>
      <c r="C69" s="6" t="s">
        <v>1656</v>
      </c>
      <c r="D69" s="7">
        <v>36000000</v>
      </c>
    </row>
    <row r="70" spans="1:25" ht="26.25" customHeight="1" thickBot="1" x14ac:dyDescent="0.45">
      <c r="A70" s="62"/>
      <c r="B70" s="6" t="s">
        <v>1657</v>
      </c>
      <c r="C70" s="6" t="s">
        <v>1658</v>
      </c>
      <c r="D70" s="7">
        <v>36000000</v>
      </c>
    </row>
    <row r="71" spans="1:25" ht="26.25" customHeight="1" thickBot="1" x14ac:dyDescent="0.45">
      <c r="A71" s="62"/>
      <c r="B71" s="6" t="s">
        <v>1659</v>
      </c>
      <c r="C71" s="6" t="s">
        <v>1660</v>
      </c>
      <c r="D71" s="7">
        <v>40100000</v>
      </c>
    </row>
    <row r="72" spans="1:25" ht="26.25" customHeight="1" thickBot="1" x14ac:dyDescent="0.45">
      <c r="A72" s="62"/>
      <c r="B72" s="6" t="s">
        <v>1661</v>
      </c>
      <c r="C72" s="6" t="s">
        <v>1662</v>
      </c>
      <c r="D72" s="7">
        <v>40100000</v>
      </c>
    </row>
    <row r="73" spans="1:25" ht="26.25" customHeight="1" thickBot="1" x14ac:dyDescent="0.45">
      <c r="A73" s="62"/>
      <c r="B73" s="6" t="s">
        <v>1663</v>
      </c>
      <c r="C73" s="6" t="s">
        <v>1664</v>
      </c>
      <c r="D73" s="7">
        <v>29300000</v>
      </c>
    </row>
    <row r="74" spans="1:25" s="5" customFormat="1" ht="26.25" customHeight="1" thickBot="1" x14ac:dyDescent="0.45">
      <c r="A74" s="62"/>
      <c r="B74" s="6" t="s">
        <v>1665</v>
      </c>
      <c r="C74" s="6" t="s">
        <v>1666</v>
      </c>
      <c r="D74" s="7">
        <v>29800000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6.25" customHeight="1" thickBot="1" x14ac:dyDescent="0.45">
      <c r="A75" s="62"/>
      <c r="B75" s="6" t="s">
        <v>1667</v>
      </c>
      <c r="C75" s="6" t="s">
        <v>1668</v>
      </c>
      <c r="D75" s="7">
        <v>44200000</v>
      </c>
    </row>
    <row r="76" spans="1:25" ht="26.25" customHeight="1" thickBot="1" x14ac:dyDescent="0.45">
      <c r="A76" s="62"/>
      <c r="B76" s="6" t="s">
        <v>1669</v>
      </c>
      <c r="C76" s="6" t="s">
        <v>1670</v>
      </c>
      <c r="D76" s="7">
        <v>46300000</v>
      </c>
    </row>
    <row r="77" spans="1:25" ht="26.25" customHeight="1" thickBot="1" x14ac:dyDescent="0.45">
      <c r="A77" s="62"/>
      <c r="B77" s="6" t="s">
        <v>1671</v>
      </c>
      <c r="C77" s="6" t="s">
        <v>1672</v>
      </c>
      <c r="D77" s="7">
        <v>12000000</v>
      </c>
    </row>
    <row r="78" spans="1:25" ht="26.25" customHeight="1" thickBot="1" x14ac:dyDescent="0.45">
      <c r="A78" s="62"/>
      <c r="B78" s="6" t="s">
        <v>1673</v>
      </c>
      <c r="C78" s="6" t="s">
        <v>1674</v>
      </c>
      <c r="D78" s="7">
        <v>19000000</v>
      </c>
    </row>
    <row r="79" spans="1:25" ht="26.25" customHeight="1" thickBot="1" x14ac:dyDescent="0.45">
      <c r="A79" s="62"/>
      <c r="B79" s="6" t="s">
        <v>1675</v>
      </c>
      <c r="C79" s="6" t="s">
        <v>1676</v>
      </c>
      <c r="D79" s="7">
        <v>22000000</v>
      </c>
    </row>
    <row r="80" spans="1:25" ht="26.25" customHeight="1" thickBot="1" x14ac:dyDescent="0.45">
      <c r="A80" s="62"/>
      <c r="B80" s="6" t="s">
        <v>1677</v>
      </c>
      <c r="C80" s="6" t="s">
        <v>1678</v>
      </c>
      <c r="D80" s="7">
        <v>12000000</v>
      </c>
    </row>
    <row r="81" spans="1:4" ht="26.25" customHeight="1" thickBot="1" x14ac:dyDescent="0.45">
      <c r="A81" s="62"/>
      <c r="B81" s="6" t="s">
        <v>1679</v>
      </c>
      <c r="C81" s="6" t="s">
        <v>1680</v>
      </c>
      <c r="D81" s="7">
        <v>19000000</v>
      </c>
    </row>
    <row r="82" spans="1:4" ht="26.25" customHeight="1" thickBot="1" x14ac:dyDescent="0.45">
      <c r="A82" s="62"/>
      <c r="B82" s="6" t="s">
        <v>1681</v>
      </c>
      <c r="C82" s="6" t="s">
        <v>1682</v>
      </c>
      <c r="D82" s="7">
        <v>22000000</v>
      </c>
    </row>
    <row r="83" spans="1:4" ht="26.25" customHeight="1" thickBot="1" x14ac:dyDescent="0.45">
      <c r="A83" s="62"/>
      <c r="B83" s="6" t="s">
        <v>1683</v>
      </c>
      <c r="C83" s="6" t="s">
        <v>1684</v>
      </c>
      <c r="D83" s="7">
        <v>900000</v>
      </c>
    </row>
    <row r="84" spans="1:4" ht="26.25" customHeight="1" thickBot="1" x14ac:dyDescent="0.45">
      <c r="A84" s="62"/>
      <c r="B84" s="6" t="s">
        <v>1685</v>
      </c>
      <c r="C84" s="6" t="s">
        <v>1686</v>
      </c>
      <c r="D84" s="7">
        <v>11100000</v>
      </c>
    </row>
    <row r="85" spans="1:4" ht="26.25" customHeight="1" thickBot="1" x14ac:dyDescent="0.45">
      <c r="A85" s="62"/>
      <c r="B85" s="6" t="s">
        <v>1687</v>
      </c>
      <c r="C85" s="6" t="s">
        <v>1688</v>
      </c>
      <c r="D85" s="7">
        <v>11100000</v>
      </c>
    </row>
    <row r="86" spans="1:4" ht="26.25" customHeight="1" thickBot="1" x14ac:dyDescent="0.45">
      <c r="A86" s="62"/>
      <c r="B86" s="6" t="s">
        <v>1689</v>
      </c>
      <c r="C86" s="6" t="s">
        <v>1690</v>
      </c>
      <c r="D86" s="7">
        <v>12600000</v>
      </c>
    </row>
    <row r="87" spans="1:4" ht="26.25" customHeight="1" thickBot="1" x14ac:dyDescent="0.45">
      <c r="A87" s="62"/>
      <c r="B87" s="6" t="s">
        <v>1691</v>
      </c>
      <c r="C87" s="6" t="s">
        <v>1692</v>
      </c>
      <c r="D87" s="7">
        <v>12600000</v>
      </c>
    </row>
    <row r="88" spans="1:4" ht="26.25" customHeight="1" thickBot="1" x14ac:dyDescent="0.45">
      <c r="A88" s="62"/>
      <c r="B88" s="6" t="s">
        <v>1693</v>
      </c>
      <c r="C88" s="6" t="s">
        <v>1694</v>
      </c>
      <c r="D88" s="7">
        <v>12600000</v>
      </c>
    </row>
    <row r="89" spans="1:4" ht="26.25" customHeight="1" thickBot="1" x14ac:dyDescent="0.45">
      <c r="A89" s="62"/>
      <c r="B89" s="6" t="s">
        <v>1695</v>
      </c>
      <c r="C89" s="6" t="s">
        <v>1696</v>
      </c>
      <c r="D89" s="7">
        <v>14200000</v>
      </c>
    </row>
    <row r="90" spans="1:4" ht="26.25" customHeight="1" thickBot="1" x14ac:dyDescent="0.45">
      <c r="A90" s="62"/>
      <c r="B90" s="6" t="s">
        <v>1697</v>
      </c>
      <c r="C90" s="6" t="s">
        <v>1698</v>
      </c>
      <c r="D90" s="7">
        <v>5100000</v>
      </c>
    </row>
    <row r="91" spans="1:4" ht="26.25" customHeight="1" thickBot="1" x14ac:dyDescent="0.45">
      <c r="A91" s="62"/>
      <c r="B91" s="6" t="s">
        <v>1699</v>
      </c>
      <c r="C91" s="6" t="s">
        <v>1700</v>
      </c>
      <c r="D91" s="7">
        <v>5000000</v>
      </c>
    </row>
    <row r="92" spans="1:4" ht="26.25" customHeight="1" thickBot="1" x14ac:dyDescent="0.45">
      <c r="A92" s="62"/>
      <c r="B92" s="6" t="s">
        <v>1701</v>
      </c>
      <c r="C92" s="6" t="s">
        <v>1702</v>
      </c>
      <c r="D92" s="7">
        <v>5800000</v>
      </c>
    </row>
    <row r="93" spans="1:4" ht="26.25" customHeight="1" thickBot="1" x14ac:dyDescent="0.45">
      <c r="A93" s="62"/>
      <c r="B93" s="6" t="s">
        <v>1703</v>
      </c>
      <c r="C93" s="6" t="s">
        <v>1704</v>
      </c>
      <c r="D93" s="7">
        <v>5700000</v>
      </c>
    </row>
    <row r="94" spans="1:4" ht="26.25" customHeight="1" thickBot="1" x14ac:dyDescent="0.45">
      <c r="A94" s="62"/>
      <c r="B94" s="6" t="s">
        <v>1705</v>
      </c>
      <c r="C94" s="6" t="s">
        <v>1706</v>
      </c>
      <c r="D94" s="7">
        <v>10500000</v>
      </c>
    </row>
    <row r="95" spans="1:4" ht="26.25" customHeight="1" thickBot="1" x14ac:dyDescent="0.45">
      <c r="A95" s="62"/>
      <c r="B95" s="6" t="s">
        <v>1707</v>
      </c>
      <c r="C95" s="6" t="s">
        <v>1708</v>
      </c>
      <c r="D95" s="7">
        <v>11500000</v>
      </c>
    </row>
    <row r="96" spans="1:4" ht="26.25" customHeight="1" thickBot="1" x14ac:dyDescent="0.45">
      <c r="A96" s="62"/>
      <c r="B96" s="6" t="s">
        <v>1709</v>
      </c>
      <c r="C96" s="6" t="s">
        <v>1710</v>
      </c>
      <c r="D96" s="7">
        <v>4700000</v>
      </c>
    </row>
    <row r="97" spans="1:4" ht="26.25" customHeight="1" thickBot="1" x14ac:dyDescent="0.45">
      <c r="A97" s="62"/>
      <c r="B97" s="6" t="s">
        <v>1711</v>
      </c>
      <c r="C97" s="6" t="s">
        <v>1712</v>
      </c>
      <c r="D97" s="7">
        <v>4900000</v>
      </c>
    </row>
    <row r="98" spans="1:4" ht="26.25" customHeight="1" thickBot="1" x14ac:dyDescent="0.45">
      <c r="A98" s="62"/>
      <c r="B98" s="6" t="s">
        <v>1713</v>
      </c>
      <c r="C98" s="6" t="s">
        <v>1714</v>
      </c>
      <c r="D98" s="7">
        <v>8700000</v>
      </c>
    </row>
    <row r="99" spans="1:4" ht="26.25" customHeight="1" thickBot="1" x14ac:dyDescent="0.45">
      <c r="A99" s="62"/>
      <c r="B99" s="6" t="s">
        <v>1715</v>
      </c>
      <c r="C99" s="6" t="s">
        <v>1716</v>
      </c>
      <c r="D99" s="7">
        <v>14400000</v>
      </c>
    </row>
    <row r="100" spans="1:4" ht="26.25" customHeight="1" thickBot="1" x14ac:dyDescent="0.45">
      <c r="A100" s="62"/>
      <c r="B100" s="6" t="s">
        <v>1717</v>
      </c>
      <c r="C100" s="6" t="s">
        <v>1718</v>
      </c>
      <c r="D100" s="7">
        <v>17800000</v>
      </c>
    </row>
    <row r="101" spans="1:4" ht="26.25" customHeight="1" thickBot="1" x14ac:dyDescent="0.45">
      <c r="A101" s="62"/>
      <c r="B101" s="6" t="s">
        <v>1719</v>
      </c>
      <c r="C101" s="6" t="s">
        <v>1720</v>
      </c>
      <c r="D101" s="7">
        <v>2800000</v>
      </c>
    </row>
    <row r="102" spans="1:4" ht="26.25" customHeight="1" thickBot="1" x14ac:dyDescent="0.45">
      <c r="A102" s="62"/>
      <c r="B102" s="6" t="s">
        <v>1721</v>
      </c>
      <c r="C102" s="6" t="s">
        <v>1722</v>
      </c>
      <c r="D102" s="7">
        <v>3000000</v>
      </c>
    </row>
    <row r="103" spans="1:4" ht="26.25" customHeight="1" thickBot="1" x14ac:dyDescent="0.45">
      <c r="A103" s="62"/>
      <c r="B103" s="6" t="s">
        <v>1723</v>
      </c>
      <c r="C103" s="6" t="s">
        <v>1724</v>
      </c>
      <c r="D103" s="7">
        <v>3900000</v>
      </c>
    </row>
    <row r="104" spans="1:4" ht="26.25" customHeight="1" thickBot="1" x14ac:dyDescent="0.45">
      <c r="A104" s="62"/>
      <c r="B104" s="6" t="s">
        <v>1725</v>
      </c>
      <c r="C104" s="6" t="s">
        <v>1726</v>
      </c>
      <c r="D104" s="7">
        <v>6200000</v>
      </c>
    </row>
    <row r="105" spans="1:4" ht="26.25" customHeight="1" thickBot="1" x14ac:dyDescent="0.45">
      <c r="A105" s="62"/>
      <c r="B105" s="6" t="s">
        <v>1727</v>
      </c>
      <c r="C105" s="6" t="s">
        <v>1728</v>
      </c>
      <c r="D105" s="7">
        <v>17000000</v>
      </c>
    </row>
    <row r="106" spans="1:4" ht="26.25" customHeight="1" thickBot="1" x14ac:dyDescent="0.45">
      <c r="A106" s="62"/>
      <c r="B106" s="6">
        <v>900212014501</v>
      </c>
      <c r="C106" s="6" t="s">
        <v>1729</v>
      </c>
      <c r="D106" s="7">
        <v>20000000</v>
      </c>
    </row>
    <row r="107" spans="1:4" ht="26.25" customHeight="1" thickBot="1" x14ac:dyDescent="0.45">
      <c r="A107" s="62"/>
      <c r="B107" s="6">
        <v>900412014501</v>
      </c>
      <c r="C107" s="6" t="s">
        <v>1730</v>
      </c>
      <c r="D107" s="7">
        <v>29800000</v>
      </c>
    </row>
    <row r="108" spans="1:4" ht="26.25" customHeight="1" thickBot="1" x14ac:dyDescent="0.45">
      <c r="A108" s="62"/>
      <c r="B108" s="6" t="s">
        <v>1731</v>
      </c>
      <c r="C108" s="6" t="s">
        <v>1732</v>
      </c>
      <c r="D108" s="7">
        <v>10300000</v>
      </c>
    </row>
    <row r="109" spans="1:4" ht="26.25" customHeight="1" thickBot="1" x14ac:dyDescent="0.45">
      <c r="A109" s="62"/>
      <c r="B109" s="6" t="s">
        <v>1733</v>
      </c>
      <c r="C109" s="6" t="s">
        <v>1734</v>
      </c>
      <c r="D109" s="7">
        <v>15400000</v>
      </c>
    </row>
    <row r="110" spans="1:4" ht="26.25" customHeight="1" thickBot="1" x14ac:dyDescent="0.45">
      <c r="A110" s="62"/>
      <c r="B110" s="6" t="s">
        <v>1735</v>
      </c>
      <c r="C110" s="6" t="s">
        <v>1736</v>
      </c>
      <c r="D110" s="7">
        <v>27800000</v>
      </c>
    </row>
    <row r="111" spans="1:4" ht="26.25" customHeight="1" thickBot="1" x14ac:dyDescent="0.45">
      <c r="A111" s="62"/>
      <c r="B111" s="6" t="s">
        <v>1737</v>
      </c>
      <c r="C111" s="6" t="s">
        <v>1738</v>
      </c>
      <c r="D111" s="7">
        <v>10700000</v>
      </c>
    </row>
    <row r="112" spans="1:4" ht="26.25" customHeight="1" thickBot="1" x14ac:dyDescent="0.45">
      <c r="A112" s="62"/>
      <c r="B112" s="6" t="s">
        <v>1739</v>
      </c>
      <c r="C112" s="6" t="s">
        <v>1740</v>
      </c>
      <c r="D112" s="7">
        <v>12700000</v>
      </c>
    </row>
    <row r="113" spans="1:4" ht="26.25" customHeight="1" thickBot="1" x14ac:dyDescent="0.45">
      <c r="A113" s="62"/>
      <c r="B113" s="6" t="s">
        <v>1741</v>
      </c>
      <c r="C113" s="6" t="s">
        <v>1742</v>
      </c>
      <c r="D113" s="7">
        <v>15100000</v>
      </c>
    </row>
    <row r="114" spans="1:4" ht="26.25" customHeight="1" thickBot="1" x14ac:dyDescent="0.45">
      <c r="A114" s="62"/>
      <c r="B114" s="6" t="s">
        <v>1743</v>
      </c>
      <c r="C114" s="6" t="s">
        <v>1744</v>
      </c>
      <c r="D114" s="7">
        <v>22500000</v>
      </c>
    </row>
    <row r="115" spans="1:4" ht="26.25" customHeight="1" thickBot="1" x14ac:dyDescent="0.45">
      <c r="A115" s="62"/>
      <c r="B115" s="6" t="s">
        <v>1745</v>
      </c>
      <c r="C115" s="6" t="s">
        <v>1746</v>
      </c>
      <c r="D115" s="7">
        <v>39100000</v>
      </c>
    </row>
    <row r="116" spans="1:4" ht="26.25" customHeight="1" thickBot="1" x14ac:dyDescent="0.45">
      <c r="A116" s="62"/>
      <c r="B116" s="6" t="s">
        <v>1747</v>
      </c>
      <c r="C116" s="6" t="s">
        <v>1748</v>
      </c>
      <c r="D116" s="7">
        <v>17500000</v>
      </c>
    </row>
    <row r="117" spans="1:4" ht="26.25" customHeight="1" thickBot="1" x14ac:dyDescent="0.45">
      <c r="A117" s="62"/>
      <c r="B117" s="6" t="s">
        <v>1749</v>
      </c>
      <c r="C117" s="6" t="s">
        <v>1750</v>
      </c>
      <c r="D117" s="7">
        <v>20300000</v>
      </c>
    </row>
    <row r="118" spans="1:4" ht="26.25" customHeight="1" thickBot="1" x14ac:dyDescent="0.45">
      <c r="A118" s="62"/>
      <c r="B118" s="6" t="s">
        <v>1751</v>
      </c>
      <c r="C118" s="6" t="s">
        <v>1752</v>
      </c>
      <c r="D118" s="7">
        <v>23400000</v>
      </c>
    </row>
    <row r="119" spans="1:4" ht="26.25" customHeight="1" thickBot="1" x14ac:dyDescent="0.45">
      <c r="A119" s="62"/>
      <c r="B119" s="6" t="s">
        <v>1753</v>
      </c>
      <c r="C119" s="6" t="s">
        <v>1754</v>
      </c>
      <c r="D119" s="7">
        <v>25300000</v>
      </c>
    </row>
    <row r="120" spans="1:4" ht="26.25" customHeight="1" thickBot="1" x14ac:dyDescent="0.45">
      <c r="A120" s="62"/>
      <c r="B120" s="6" t="s">
        <v>1755</v>
      </c>
      <c r="C120" s="6" t="s">
        <v>1756</v>
      </c>
      <c r="D120" s="7">
        <v>59000000</v>
      </c>
    </row>
    <row r="121" spans="1:4" ht="26.25" customHeight="1" thickBot="1" x14ac:dyDescent="0.45">
      <c r="A121" s="62"/>
      <c r="B121" s="6">
        <v>8153642221</v>
      </c>
      <c r="C121" s="6" t="s">
        <v>1757</v>
      </c>
      <c r="D121" s="7">
        <v>89300000</v>
      </c>
    </row>
    <row r="122" spans="1:4" ht="26.25" customHeight="1" x14ac:dyDescent="0.4">
      <c r="A122" s="60">
        <v>1</v>
      </c>
      <c r="B122" s="12" t="s">
        <v>937</v>
      </c>
      <c r="C122" s="12" t="s">
        <v>938</v>
      </c>
      <c r="D122" s="13">
        <v>1600000</v>
      </c>
    </row>
    <row r="123" spans="1:4" ht="26.25" customHeight="1" x14ac:dyDescent="0.4">
      <c r="A123" s="60">
        <v>1</v>
      </c>
      <c r="B123" s="12" t="s">
        <v>939</v>
      </c>
      <c r="C123" s="12" t="s">
        <v>940</v>
      </c>
      <c r="D123" s="13">
        <v>1700000</v>
      </c>
    </row>
    <row r="124" spans="1:4" ht="26.25" customHeight="1" x14ac:dyDescent="0.4">
      <c r="A124" s="60">
        <v>1</v>
      </c>
      <c r="B124" s="12" t="s">
        <v>941</v>
      </c>
      <c r="C124" s="12" t="s">
        <v>942</v>
      </c>
      <c r="D124" s="13">
        <v>3600000</v>
      </c>
    </row>
    <row r="125" spans="1:4" ht="26.25" customHeight="1" x14ac:dyDescent="0.4">
      <c r="A125" s="60"/>
      <c r="B125" s="12" t="s">
        <v>943</v>
      </c>
      <c r="C125" s="12" t="s">
        <v>944</v>
      </c>
      <c r="D125" s="13">
        <v>3600000</v>
      </c>
    </row>
    <row r="126" spans="1:4" ht="26.25" customHeight="1" x14ac:dyDescent="0.4">
      <c r="A126" s="60"/>
      <c r="B126" s="12" t="s">
        <v>945</v>
      </c>
      <c r="C126" s="12" t="s">
        <v>946</v>
      </c>
      <c r="D126" s="13">
        <v>3600000</v>
      </c>
    </row>
    <row r="127" spans="1:4" ht="26.25" customHeight="1" x14ac:dyDescent="0.4">
      <c r="A127" s="60"/>
      <c r="B127" s="12" t="s">
        <v>947</v>
      </c>
      <c r="C127" s="12" t="s">
        <v>948</v>
      </c>
      <c r="D127" s="13">
        <v>3700000</v>
      </c>
    </row>
    <row r="128" spans="1:4" ht="26.25" customHeight="1" x14ac:dyDescent="0.4">
      <c r="A128" s="60"/>
      <c r="B128" s="12" t="s">
        <v>949</v>
      </c>
      <c r="C128" s="12" t="s">
        <v>950</v>
      </c>
      <c r="D128" s="13">
        <v>3700000</v>
      </c>
    </row>
    <row r="129" spans="1:4" ht="26.25" customHeight="1" x14ac:dyDescent="0.4">
      <c r="A129" s="60">
        <v>1</v>
      </c>
      <c r="B129" s="12" t="s">
        <v>951</v>
      </c>
      <c r="C129" s="12" t="s">
        <v>952</v>
      </c>
      <c r="D129" s="13">
        <v>3800000</v>
      </c>
    </row>
    <row r="130" spans="1:4" ht="26.25" customHeight="1" x14ac:dyDescent="0.4">
      <c r="A130" s="60"/>
      <c r="B130" s="12" t="s">
        <v>953</v>
      </c>
      <c r="C130" s="12" t="s">
        <v>954</v>
      </c>
      <c r="D130" s="13">
        <v>3900000</v>
      </c>
    </row>
    <row r="131" spans="1:4" ht="26.25" customHeight="1" x14ac:dyDescent="0.4">
      <c r="A131" s="60">
        <v>1</v>
      </c>
      <c r="B131" s="12" t="s">
        <v>955</v>
      </c>
      <c r="C131" s="12" t="s">
        <v>956</v>
      </c>
      <c r="D131" s="13">
        <v>3800000</v>
      </c>
    </row>
    <row r="132" spans="1:4" ht="26.25" customHeight="1" x14ac:dyDescent="0.4">
      <c r="A132" s="60"/>
      <c r="B132" s="12" t="s">
        <v>957</v>
      </c>
      <c r="C132" s="12" t="s">
        <v>958</v>
      </c>
      <c r="D132" s="13">
        <v>3800000</v>
      </c>
    </row>
    <row r="133" spans="1:4" ht="26.25" customHeight="1" x14ac:dyDescent="0.4">
      <c r="A133" s="60"/>
      <c r="B133" s="12" t="s">
        <v>959</v>
      </c>
      <c r="C133" s="12" t="s">
        <v>960</v>
      </c>
      <c r="D133" s="13">
        <v>3900000</v>
      </c>
    </row>
    <row r="134" spans="1:4" ht="26.25" customHeight="1" x14ac:dyDescent="0.4">
      <c r="A134" s="60"/>
      <c r="B134" s="12" t="s">
        <v>961</v>
      </c>
      <c r="C134" s="12" t="s">
        <v>962</v>
      </c>
      <c r="D134" s="13">
        <v>3900000</v>
      </c>
    </row>
    <row r="135" spans="1:4" ht="26.25" customHeight="1" x14ac:dyDescent="0.4">
      <c r="A135" s="60">
        <v>1</v>
      </c>
      <c r="B135" s="12" t="s">
        <v>963</v>
      </c>
      <c r="C135" s="12" t="s">
        <v>964</v>
      </c>
      <c r="D135" s="13">
        <v>300000</v>
      </c>
    </row>
    <row r="136" spans="1:4" ht="26.25" customHeight="1" x14ac:dyDescent="0.4">
      <c r="A136" s="60"/>
      <c r="B136" s="12" t="s">
        <v>965</v>
      </c>
      <c r="C136" s="12" t="s">
        <v>966</v>
      </c>
      <c r="D136" s="13">
        <v>1600000</v>
      </c>
    </row>
    <row r="137" spans="1:4" ht="26.25" customHeight="1" x14ac:dyDescent="0.4">
      <c r="A137" s="60"/>
      <c r="B137" s="12" t="s">
        <v>967</v>
      </c>
      <c r="C137" s="12" t="s">
        <v>968</v>
      </c>
      <c r="D137" s="13">
        <v>1900000</v>
      </c>
    </row>
    <row r="138" spans="1:4" ht="26.25" customHeight="1" x14ac:dyDescent="0.4">
      <c r="A138" s="60"/>
      <c r="B138" s="12" t="s">
        <v>969</v>
      </c>
      <c r="C138" s="12" t="s">
        <v>970</v>
      </c>
      <c r="D138" s="13">
        <v>2100000</v>
      </c>
    </row>
    <row r="139" spans="1:4" ht="26.25" customHeight="1" x14ac:dyDescent="0.4">
      <c r="A139" s="60">
        <v>1</v>
      </c>
      <c r="B139" s="12" t="s">
        <v>666</v>
      </c>
      <c r="C139" s="12" t="s">
        <v>971</v>
      </c>
      <c r="D139" s="13">
        <v>150000</v>
      </c>
    </row>
    <row r="140" spans="1:4" ht="26.25" customHeight="1" x14ac:dyDescent="0.4">
      <c r="A140" s="60">
        <v>1</v>
      </c>
      <c r="B140" s="12" t="s">
        <v>972</v>
      </c>
      <c r="C140" s="12" t="s">
        <v>973</v>
      </c>
      <c r="D140" s="13">
        <v>190000</v>
      </c>
    </row>
    <row r="141" spans="1:4" ht="26.25" customHeight="1" x14ac:dyDescent="0.4">
      <c r="A141" s="60">
        <v>1</v>
      </c>
      <c r="B141" s="12" t="s">
        <v>974</v>
      </c>
      <c r="C141" s="12" t="s">
        <v>975</v>
      </c>
      <c r="D141" s="13">
        <v>230000</v>
      </c>
    </row>
    <row r="142" spans="1:4" ht="26.25" customHeight="1" x14ac:dyDescent="0.4">
      <c r="A142" s="60"/>
      <c r="B142" s="12" t="s">
        <v>976</v>
      </c>
      <c r="C142" s="12" t="s">
        <v>977</v>
      </c>
      <c r="D142" s="13">
        <v>1700000</v>
      </c>
    </row>
    <row r="143" spans="1:4" ht="26.25" customHeight="1" x14ac:dyDescent="0.4">
      <c r="A143" s="60">
        <v>1</v>
      </c>
      <c r="B143" s="12" t="s">
        <v>978</v>
      </c>
      <c r="C143" s="12" t="s">
        <v>979</v>
      </c>
      <c r="D143" s="13">
        <v>1850000</v>
      </c>
    </row>
    <row r="144" spans="1:4" ht="26.25" customHeight="1" x14ac:dyDescent="0.4">
      <c r="A144" s="60">
        <v>1</v>
      </c>
      <c r="B144" s="12" t="s">
        <v>980</v>
      </c>
      <c r="C144" s="12" t="s">
        <v>981</v>
      </c>
      <c r="D144" s="13">
        <v>1900000</v>
      </c>
    </row>
    <row r="145" spans="1:4" ht="26.25" customHeight="1" x14ac:dyDescent="0.4">
      <c r="A145" s="60">
        <v>1</v>
      </c>
      <c r="B145" s="12" t="s">
        <v>982</v>
      </c>
      <c r="C145" s="12" t="s">
        <v>983</v>
      </c>
      <c r="D145" s="13">
        <v>1950000</v>
      </c>
    </row>
    <row r="146" spans="1:4" ht="26.25" customHeight="1" x14ac:dyDescent="0.4">
      <c r="A146" s="60">
        <v>1</v>
      </c>
      <c r="B146" s="12" t="s">
        <v>984</v>
      </c>
      <c r="C146" s="12" t="s">
        <v>985</v>
      </c>
      <c r="D146" s="13">
        <v>2000000</v>
      </c>
    </row>
    <row r="147" spans="1:4" ht="26.25" customHeight="1" x14ac:dyDescent="0.4">
      <c r="A147" s="60"/>
      <c r="B147" s="12" t="s">
        <v>986</v>
      </c>
      <c r="C147" s="12" t="s">
        <v>987</v>
      </c>
      <c r="D147" s="13">
        <v>1950000</v>
      </c>
    </row>
    <row r="148" spans="1:4" ht="26.25" customHeight="1" x14ac:dyDescent="0.4">
      <c r="A148" s="60"/>
      <c r="B148" s="12" t="s">
        <v>988</v>
      </c>
      <c r="C148" s="12" t="s">
        <v>989</v>
      </c>
      <c r="D148" s="13">
        <v>1950000</v>
      </c>
    </row>
    <row r="149" spans="1:4" ht="26.25" customHeight="1" x14ac:dyDescent="0.4">
      <c r="A149" s="60"/>
      <c r="B149" s="12" t="s">
        <v>990</v>
      </c>
      <c r="C149" s="12" t="s">
        <v>991</v>
      </c>
      <c r="D149" s="13">
        <v>2000000</v>
      </c>
    </row>
    <row r="150" spans="1:4" ht="26.25" customHeight="1" x14ac:dyDescent="0.4">
      <c r="A150" s="60"/>
      <c r="B150" s="12" t="s">
        <v>992</v>
      </c>
      <c r="C150" s="12" t="s">
        <v>993</v>
      </c>
      <c r="D150" s="13">
        <v>2000000</v>
      </c>
    </row>
    <row r="151" spans="1:4" ht="26.25" customHeight="1" x14ac:dyDescent="0.4">
      <c r="A151" s="60"/>
      <c r="B151" s="12" t="s">
        <v>994</v>
      </c>
      <c r="C151" s="12" t="s">
        <v>995</v>
      </c>
      <c r="D151" s="13">
        <v>2500000</v>
      </c>
    </row>
    <row r="152" spans="1:4" ht="26.25" customHeight="1" x14ac:dyDescent="0.4">
      <c r="A152" s="60"/>
      <c r="B152" s="12" t="s">
        <v>996</v>
      </c>
      <c r="C152" s="12" t="s">
        <v>997</v>
      </c>
      <c r="D152" s="13">
        <v>2550000</v>
      </c>
    </row>
    <row r="153" spans="1:4" ht="26.25" customHeight="1" x14ac:dyDescent="0.4">
      <c r="A153" s="60"/>
      <c r="B153" s="12" t="s">
        <v>998</v>
      </c>
      <c r="C153" s="12" t="s">
        <v>999</v>
      </c>
      <c r="D153" s="13">
        <v>2600000</v>
      </c>
    </row>
    <row r="154" spans="1:4" ht="26.25" customHeight="1" x14ac:dyDescent="0.4">
      <c r="A154" s="60"/>
      <c r="B154" s="12" t="s">
        <v>1000</v>
      </c>
      <c r="C154" s="12" t="s">
        <v>1001</v>
      </c>
      <c r="D154" s="13">
        <v>2600000</v>
      </c>
    </row>
    <row r="155" spans="1:4" ht="26.25" customHeight="1" x14ac:dyDescent="0.4">
      <c r="A155" s="60"/>
      <c r="B155" s="12" t="s">
        <v>1002</v>
      </c>
      <c r="C155" s="12" t="s">
        <v>1003</v>
      </c>
      <c r="D155" s="13">
        <v>2600000</v>
      </c>
    </row>
    <row r="156" spans="1:4" ht="26.25" customHeight="1" x14ac:dyDescent="0.4">
      <c r="A156" s="60"/>
      <c r="B156" s="12" t="s">
        <v>1004</v>
      </c>
      <c r="C156" s="12" t="s">
        <v>1005</v>
      </c>
      <c r="D156" s="13">
        <v>2700000</v>
      </c>
    </row>
    <row r="157" spans="1:4" ht="26.25" customHeight="1" x14ac:dyDescent="0.4">
      <c r="A157" s="60"/>
      <c r="B157" s="12" t="s">
        <v>1006</v>
      </c>
      <c r="C157" s="12" t="s">
        <v>1007</v>
      </c>
      <c r="D157" s="13">
        <v>2700000</v>
      </c>
    </row>
    <row r="158" spans="1:4" ht="26.25" customHeight="1" x14ac:dyDescent="0.4">
      <c r="A158" s="60"/>
      <c r="B158" s="12" t="s">
        <v>1008</v>
      </c>
      <c r="C158" s="12" t="s">
        <v>1009</v>
      </c>
      <c r="D158" s="13">
        <v>2700000</v>
      </c>
    </row>
    <row r="159" spans="1:4" ht="26.25" customHeight="1" x14ac:dyDescent="0.4">
      <c r="A159" s="60"/>
      <c r="B159" s="12" t="s">
        <v>1010</v>
      </c>
      <c r="C159" s="12" t="s">
        <v>1011</v>
      </c>
      <c r="D159" s="13">
        <v>2800000</v>
      </c>
    </row>
    <row r="160" spans="1:4" ht="26.25" customHeight="1" x14ac:dyDescent="0.4">
      <c r="A160" s="60"/>
      <c r="B160" s="12" t="s">
        <v>1012</v>
      </c>
      <c r="C160" s="12" t="s">
        <v>1013</v>
      </c>
      <c r="D160" s="13">
        <v>2800000</v>
      </c>
    </row>
    <row r="161" spans="1:4" ht="26.25" customHeight="1" x14ac:dyDescent="0.4">
      <c r="A161" s="60"/>
      <c r="B161" s="12" t="s">
        <v>1014</v>
      </c>
      <c r="C161" s="12" t="s">
        <v>1015</v>
      </c>
      <c r="D161" s="13">
        <v>3100000</v>
      </c>
    </row>
    <row r="162" spans="1:4" ht="26.25" customHeight="1" x14ac:dyDescent="0.4">
      <c r="A162" s="60"/>
      <c r="B162" s="12" t="s">
        <v>1016</v>
      </c>
      <c r="C162" s="12" t="s">
        <v>1017</v>
      </c>
      <c r="D162" s="13">
        <v>3100000</v>
      </c>
    </row>
    <row r="163" spans="1:4" ht="26.25" customHeight="1" x14ac:dyDescent="0.4">
      <c r="A163" s="60">
        <v>1</v>
      </c>
      <c r="B163" s="12" t="s">
        <v>1018</v>
      </c>
      <c r="C163" s="12" t="s">
        <v>1019</v>
      </c>
      <c r="D163" s="13">
        <v>160000</v>
      </c>
    </row>
    <row r="164" spans="1:4" ht="26.25" customHeight="1" x14ac:dyDescent="0.4">
      <c r="A164" s="60">
        <v>1</v>
      </c>
      <c r="B164" s="12" t="s">
        <v>1020</v>
      </c>
      <c r="C164" s="12" t="s">
        <v>1021</v>
      </c>
      <c r="D164" s="13">
        <v>170000</v>
      </c>
    </row>
    <row r="165" spans="1:4" ht="26.25" customHeight="1" x14ac:dyDescent="0.4">
      <c r="A165" s="60">
        <v>1</v>
      </c>
      <c r="B165" s="12" t="s">
        <v>1022</v>
      </c>
      <c r="C165" s="12" t="s">
        <v>1023</v>
      </c>
      <c r="D165" s="13">
        <v>4330000</v>
      </c>
    </row>
    <row r="166" spans="1:4" ht="26.25" customHeight="1" x14ac:dyDescent="0.4">
      <c r="A166" s="60">
        <v>1</v>
      </c>
      <c r="B166" s="12" t="s">
        <v>1024</v>
      </c>
      <c r="C166" s="12" t="s">
        <v>1025</v>
      </c>
      <c r="D166" s="13">
        <v>4430000</v>
      </c>
    </row>
    <row r="167" spans="1:4" ht="26.25" customHeight="1" x14ac:dyDescent="0.4">
      <c r="A167" s="60">
        <v>1</v>
      </c>
      <c r="B167" s="12" t="s">
        <v>1026</v>
      </c>
      <c r="C167" s="12" t="s">
        <v>1027</v>
      </c>
      <c r="D167" s="13">
        <v>4540000</v>
      </c>
    </row>
    <row r="168" spans="1:4" ht="26.25" customHeight="1" x14ac:dyDescent="0.4">
      <c r="A168" s="60">
        <v>1</v>
      </c>
      <c r="B168" s="12" t="s">
        <v>1028</v>
      </c>
      <c r="C168" s="12" t="s">
        <v>1029</v>
      </c>
      <c r="D168" s="13">
        <v>4640000</v>
      </c>
    </row>
    <row r="169" spans="1:4" ht="26.25" customHeight="1" x14ac:dyDescent="0.4">
      <c r="A169" s="60">
        <v>1</v>
      </c>
      <c r="B169" s="12" t="s">
        <v>1030</v>
      </c>
      <c r="C169" s="12" t="s">
        <v>1031</v>
      </c>
      <c r="D169" s="13">
        <v>4740000</v>
      </c>
    </row>
    <row r="170" spans="1:4" ht="26.25" customHeight="1" x14ac:dyDescent="0.4">
      <c r="A170" s="60">
        <v>1</v>
      </c>
      <c r="B170" s="12" t="s">
        <v>1032</v>
      </c>
      <c r="C170" s="12" t="s">
        <v>1033</v>
      </c>
      <c r="D170" s="13">
        <v>4950000</v>
      </c>
    </row>
    <row r="171" spans="1:4" ht="26.25" customHeight="1" x14ac:dyDescent="0.4">
      <c r="A171" s="60">
        <v>1</v>
      </c>
      <c r="B171" s="12" t="s">
        <v>1034</v>
      </c>
      <c r="C171" s="12" t="s">
        <v>1035</v>
      </c>
      <c r="D171" s="13">
        <v>5150000</v>
      </c>
    </row>
    <row r="172" spans="1:4" ht="26.25" customHeight="1" x14ac:dyDescent="0.4">
      <c r="A172" s="60">
        <v>1</v>
      </c>
      <c r="B172" s="12" t="s">
        <v>1036</v>
      </c>
      <c r="C172" s="12" t="s">
        <v>1037</v>
      </c>
      <c r="D172" s="13">
        <v>5400000</v>
      </c>
    </row>
    <row r="173" spans="1:4" ht="26.25" customHeight="1" x14ac:dyDescent="0.4">
      <c r="A173" s="60"/>
      <c r="B173" s="12" t="s">
        <v>1038</v>
      </c>
      <c r="C173" s="12" t="s">
        <v>1039</v>
      </c>
      <c r="D173" s="13">
        <v>4330000</v>
      </c>
    </row>
    <row r="174" spans="1:4" ht="26.25" customHeight="1" x14ac:dyDescent="0.4">
      <c r="A174" s="60"/>
      <c r="B174" s="12" t="s">
        <v>1040</v>
      </c>
      <c r="C174" s="12" t="s">
        <v>1041</v>
      </c>
      <c r="D174" s="13">
        <v>4430000</v>
      </c>
    </row>
    <row r="175" spans="1:4" ht="26.25" customHeight="1" x14ac:dyDescent="0.4">
      <c r="A175" s="60"/>
      <c r="B175" s="12" t="s">
        <v>1042</v>
      </c>
      <c r="C175" s="12" t="s">
        <v>1043</v>
      </c>
      <c r="D175" s="13">
        <v>4540000</v>
      </c>
    </row>
    <row r="176" spans="1:4" ht="26.25" customHeight="1" x14ac:dyDescent="0.4">
      <c r="A176" s="60"/>
      <c r="B176" s="12" t="s">
        <v>1044</v>
      </c>
      <c r="C176" s="12" t="s">
        <v>1045</v>
      </c>
      <c r="D176" s="13">
        <v>4640000</v>
      </c>
    </row>
    <row r="177" spans="1:4" ht="26.25" customHeight="1" x14ac:dyDescent="0.4">
      <c r="A177" s="60">
        <v>1</v>
      </c>
      <c r="B177" s="12" t="s">
        <v>1046</v>
      </c>
      <c r="C177" s="12" t="s">
        <v>1047</v>
      </c>
      <c r="D177" s="13">
        <v>8600000</v>
      </c>
    </row>
    <row r="178" spans="1:4" ht="26.25" customHeight="1" x14ac:dyDescent="0.4">
      <c r="A178" s="60"/>
      <c r="B178" s="12" t="s">
        <v>1048</v>
      </c>
      <c r="C178" s="12" t="s">
        <v>1049</v>
      </c>
      <c r="D178" s="13">
        <v>8800000</v>
      </c>
    </row>
    <row r="179" spans="1:4" ht="26.25" customHeight="1" x14ac:dyDescent="0.4">
      <c r="A179" s="60">
        <v>1</v>
      </c>
      <c r="B179" s="12" t="s">
        <v>1050</v>
      </c>
      <c r="C179" s="12" t="s">
        <v>1051</v>
      </c>
      <c r="D179" s="13">
        <v>8700000</v>
      </c>
    </row>
    <row r="180" spans="1:4" ht="26.25" customHeight="1" x14ac:dyDescent="0.4">
      <c r="A180" s="60"/>
      <c r="B180" s="12" t="s">
        <v>1052</v>
      </c>
      <c r="C180" s="12" t="s">
        <v>1053</v>
      </c>
      <c r="D180" s="13">
        <v>8700000</v>
      </c>
    </row>
    <row r="181" spans="1:4" ht="26.25" customHeight="1" x14ac:dyDescent="0.4">
      <c r="A181" s="60"/>
      <c r="B181" s="12" t="s">
        <v>1054</v>
      </c>
      <c r="C181" s="12" t="s">
        <v>1055</v>
      </c>
      <c r="D181" s="13">
        <v>8800000</v>
      </c>
    </row>
    <row r="182" spans="1:4" ht="26.25" customHeight="1" x14ac:dyDescent="0.4">
      <c r="A182" s="60"/>
      <c r="B182" s="12" t="s">
        <v>1056</v>
      </c>
      <c r="C182" s="12" t="s">
        <v>1057</v>
      </c>
      <c r="D182" s="13">
        <v>3400000</v>
      </c>
    </row>
    <row r="183" spans="1:4" ht="26.25" customHeight="1" x14ac:dyDescent="0.4">
      <c r="A183" s="60"/>
      <c r="B183" s="12" t="s">
        <v>1058</v>
      </c>
      <c r="C183" s="12" t="s">
        <v>1059</v>
      </c>
      <c r="D183" s="13">
        <v>16500000</v>
      </c>
    </row>
    <row r="184" spans="1:4" ht="26.25" customHeight="1" x14ac:dyDescent="0.4">
      <c r="A184" s="60"/>
      <c r="B184" s="12" t="s">
        <v>1060</v>
      </c>
      <c r="C184" s="12" t="s">
        <v>1061</v>
      </c>
      <c r="D184" s="13">
        <v>16500000</v>
      </c>
    </row>
    <row r="185" spans="1:4" ht="26.25" customHeight="1" x14ac:dyDescent="0.4">
      <c r="A185" s="60"/>
      <c r="B185" s="12" t="s">
        <v>1062</v>
      </c>
      <c r="C185" s="12" t="s">
        <v>1063</v>
      </c>
      <c r="D185" s="13">
        <v>17500000</v>
      </c>
    </row>
    <row r="186" spans="1:4" ht="26.25" customHeight="1" x14ac:dyDescent="0.4">
      <c r="A186" s="60"/>
      <c r="B186" s="12" t="s">
        <v>1064</v>
      </c>
      <c r="C186" s="12" t="s">
        <v>1065</v>
      </c>
      <c r="D186" s="13">
        <v>17500000</v>
      </c>
    </row>
    <row r="187" spans="1:4" ht="26.25" customHeight="1" x14ac:dyDescent="0.4">
      <c r="A187" s="60"/>
      <c r="B187" s="12" t="s">
        <v>1066</v>
      </c>
      <c r="C187" s="12" t="s">
        <v>1067</v>
      </c>
      <c r="D187" s="13">
        <v>10000000</v>
      </c>
    </row>
    <row r="188" spans="1:4" ht="26.25" customHeight="1" x14ac:dyDescent="0.4">
      <c r="A188" s="60"/>
      <c r="B188" s="12" t="s">
        <v>1068</v>
      </c>
      <c r="C188" s="12" t="s">
        <v>1069</v>
      </c>
      <c r="D188" s="13">
        <v>10260000</v>
      </c>
    </row>
    <row r="189" spans="1:4" ht="26.25" customHeight="1" x14ac:dyDescent="0.4">
      <c r="A189" s="60"/>
      <c r="B189" s="12" t="s">
        <v>1070</v>
      </c>
      <c r="C189" s="12" t="s">
        <v>1071</v>
      </c>
      <c r="D189" s="13">
        <v>10800000</v>
      </c>
    </row>
    <row r="190" spans="1:4" ht="26.25" customHeight="1" x14ac:dyDescent="0.4">
      <c r="A190" s="60">
        <v>1</v>
      </c>
      <c r="B190" s="12" t="s">
        <v>1072</v>
      </c>
      <c r="C190" s="12" t="s">
        <v>1073</v>
      </c>
      <c r="D190" s="13">
        <v>11030000</v>
      </c>
    </row>
    <row r="191" spans="1:4" ht="26.25" customHeight="1" x14ac:dyDescent="0.4">
      <c r="A191" s="60"/>
      <c r="B191" s="12" t="s">
        <v>1074</v>
      </c>
      <c r="C191" s="12" t="s">
        <v>1075</v>
      </c>
      <c r="D191" s="13">
        <v>11550000</v>
      </c>
    </row>
    <row r="192" spans="1:4" ht="26.25" customHeight="1" x14ac:dyDescent="0.4">
      <c r="A192" s="60"/>
      <c r="B192" s="12" t="s">
        <v>1076</v>
      </c>
      <c r="C192" s="12" t="s">
        <v>1077</v>
      </c>
      <c r="D192" s="13">
        <v>19500000</v>
      </c>
    </row>
    <row r="193" spans="1:4" ht="26.25" customHeight="1" x14ac:dyDescent="0.4">
      <c r="A193" s="60"/>
      <c r="B193" s="12" t="s">
        <v>1078</v>
      </c>
      <c r="C193" s="12" t="s">
        <v>1079</v>
      </c>
      <c r="D193" s="13">
        <v>19000000</v>
      </c>
    </row>
    <row r="194" spans="1:4" ht="26.25" customHeight="1" x14ac:dyDescent="0.4">
      <c r="A194" s="60"/>
      <c r="B194" s="12" t="s">
        <v>1080</v>
      </c>
      <c r="C194" s="12" t="s">
        <v>1081</v>
      </c>
      <c r="D194" s="13">
        <v>20500000</v>
      </c>
    </row>
    <row r="195" spans="1:4" ht="26.25" customHeight="1" x14ac:dyDescent="0.4">
      <c r="A195" s="60"/>
      <c r="B195" s="12" t="s">
        <v>1082</v>
      </c>
      <c r="C195" s="12" t="s">
        <v>1083</v>
      </c>
      <c r="D195" s="13">
        <v>20000000</v>
      </c>
    </row>
    <row r="196" spans="1:4" ht="26.25" customHeight="1" x14ac:dyDescent="0.4">
      <c r="A196" s="60"/>
      <c r="B196" s="12" t="s">
        <v>1084</v>
      </c>
      <c r="C196" s="12" t="s">
        <v>1085</v>
      </c>
      <c r="D196" s="13">
        <v>4600000</v>
      </c>
    </row>
    <row r="197" spans="1:4" ht="26.25" customHeight="1" x14ac:dyDescent="0.4">
      <c r="A197" s="60">
        <v>1</v>
      </c>
      <c r="B197" s="12" t="s">
        <v>1086</v>
      </c>
      <c r="C197" s="12" t="s">
        <v>1087</v>
      </c>
      <c r="D197" s="13">
        <v>4700000</v>
      </c>
    </row>
    <row r="198" spans="1:4" ht="26.25" customHeight="1" x14ac:dyDescent="0.4">
      <c r="A198" s="60"/>
      <c r="B198" s="12" t="s">
        <v>1088</v>
      </c>
      <c r="C198" s="12" t="s">
        <v>1089</v>
      </c>
      <c r="D198" s="13">
        <v>4900000</v>
      </c>
    </row>
    <row r="199" spans="1:4" ht="26.25" customHeight="1" x14ac:dyDescent="0.4">
      <c r="A199" s="60"/>
      <c r="B199" s="12" t="s">
        <v>1090</v>
      </c>
      <c r="C199" s="12" t="s">
        <v>1091</v>
      </c>
      <c r="D199" s="13">
        <v>4900000</v>
      </c>
    </row>
    <row r="200" spans="1:4" ht="26.25" customHeight="1" x14ac:dyDescent="0.4">
      <c r="A200" s="60"/>
      <c r="B200" s="12" t="s">
        <v>1092</v>
      </c>
      <c r="C200" s="12" t="s">
        <v>1093</v>
      </c>
      <c r="D200" s="13">
        <v>5100000</v>
      </c>
    </row>
    <row r="201" spans="1:4" ht="26.25" customHeight="1" x14ac:dyDescent="0.4">
      <c r="A201" s="60"/>
      <c r="B201" s="12" t="s">
        <v>1094</v>
      </c>
      <c r="C201" s="12" t="s">
        <v>1095</v>
      </c>
      <c r="D201" s="13">
        <v>5350000</v>
      </c>
    </row>
    <row r="202" spans="1:4" ht="26.25" customHeight="1" x14ac:dyDescent="0.4">
      <c r="A202" s="60"/>
      <c r="B202" s="12" t="s">
        <v>1096</v>
      </c>
      <c r="C202" s="12" t="s">
        <v>1097</v>
      </c>
      <c r="D202" s="13">
        <v>4520000</v>
      </c>
    </row>
    <row r="203" spans="1:4" ht="26.25" customHeight="1" x14ac:dyDescent="0.4">
      <c r="A203" s="60">
        <v>1</v>
      </c>
      <c r="B203" s="12" t="s">
        <v>1098</v>
      </c>
      <c r="C203" s="12" t="s">
        <v>1099</v>
      </c>
      <c r="D203" s="13">
        <v>4520000</v>
      </c>
    </row>
    <row r="204" spans="1:4" ht="26.25" customHeight="1" x14ac:dyDescent="0.4">
      <c r="A204" s="60">
        <v>1</v>
      </c>
      <c r="B204" s="12" t="s">
        <v>1100</v>
      </c>
      <c r="C204" s="12" t="s">
        <v>1101</v>
      </c>
      <c r="D204" s="13">
        <v>4520000</v>
      </c>
    </row>
    <row r="205" spans="1:4" ht="26.25" customHeight="1" x14ac:dyDescent="0.4">
      <c r="A205" s="60"/>
      <c r="B205" s="12" t="s">
        <v>1102</v>
      </c>
      <c r="C205" s="12" t="s">
        <v>1103</v>
      </c>
      <c r="D205" s="13">
        <v>4620000</v>
      </c>
    </row>
    <row r="206" spans="1:4" ht="26.25" customHeight="1" x14ac:dyDescent="0.4">
      <c r="A206" s="60"/>
      <c r="B206" s="12" t="s">
        <v>1104</v>
      </c>
      <c r="C206" s="12" t="s">
        <v>1105</v>
      </c>
      <c r="D206" s="13">
        <v>4520000</v>
      </c>
    </row>
    <row r="207" spans="1:4" ht="26.25" customHeight="1" x14ac:dyDescent="0.4">
      <c r="A207" s="60"/>
      <c r="B207" s="12" t="s">
        <v>1106</v>
      </c>
      <c r="C207" s="12" t="s">
        <v>1107</v>
      </c>
      <c r="D207" s="13">
        <v>4520000</v>
      </c>
    </row>
    <row r="208" spans="1:4" ht="26.25" customHeight="1" x14ac:dyDescent="0.4">
      <c r="A208" s="60"/>
      <c r="B208" s="12" t="s">
        <v>1108</v>
      </c>
      <c r="C208" s="12" t="s">
        <v>1109</v>
      </c>
      <c r="D208" s="13">
        <v>4520000</v>
      </c>
    </row>
    <row r="209" spans="1:4" ht="26.25" customHeight="1" x14ac:dyDescent="0.4">
      <c r="A209" s="60"/>
      <c r="B209" s="12" t="s">
        <v>1110</v>
      </c>
      <c r="C209" s="12" t="s">
        <v>1111</v>
      </c>
      <c r="D209" s="13">
        <v>4620000</v>
      </c>
    </row>
    <row r="210" spans="1:4" ht="26.25" customHeight="1" x14ac:dyDescent="0.4">
      <c r="A210" s="60"/>
      <c r="B210" s="12" t="s">
        <v>1112</v>
      </c>
      <c r="C210" s="12" t="s">
        <v>1113</v>
      </c>
      <c r="D210" s="13">
        <v>400000</v>
      </c>
    </row>
    <row r="211" spans="1:4" ht="26.25" customHeight="1" x14ac:dyDescent="0.4">
      <c r="A211" s="60"/>
      <c r="B211" s="12" t="s">
        <v>1114</v>
      </c>
      <c r="C211" s="12" t="s">
        <v>1115</v>
      </c>
      <c r="D211" s="13">
        <v>450000</v>
      </c>
    </row>
    <row r="212" spans="1:4" ht="26.25" customHeight="1" x14ac:dyDescent="0.4">
      <c r="A212" s="60"/>
      <c r="B212" s="12" t="s">
        <v>1116</v>
      </c>
      <c r="C212" s="12" t="s">
        <v>1117</v>
      </c>
      <c r="D212" s="13">
        <v>480000</v>
      </c>
    </row>
    <row r="213" spans="1:4" ht="26.25" customHeight="1" x14ac:dyDescent="0.4">
      <c r="A213" s="60"/>
      <c r="B213" s="12" t="s">
        <v>1118</v>
      </c>
      <c r="C213" s="12" t="s">
        <v>1119</v>
      </c>
      <c r="D213" s="13">
        <v>500000</v>
      </c>
    </row>
    <row r="214" spans="1:4" ht="26.25" customHeight="1" x14ac:dyDescent="0.4">
      <c r="A214" s="60"/>
      <c r="B214" s="12" t="s">
        <v>1120</v>
      </c>
      <c r="C214" s="12" t="s">
        <v>1121</v>
      </c>
      <c r="D214" s="13">
        <v>1200000</v>
      </c>
    </row>
    <row r="215" spans="1:4" ht="26.25" customHeight="1" x14ac:dyDescent="0.4">
      <c r="A215" s="60"/>
      <c r="B215" s="12" t="s">
        <v>1122</v>
      </c>
      <c r="C215" s="12" t="s">
        <v>1123</v>
      </c>
      <c r="D215" s="13">
        <v>1400000</v>
      </c>
    </row>
    <row r="216" spans="1:4" ht="26.25" customHeight="1" x14ac:dyDescent="0.4">
      <c r="A216" s="60"/>
      <c r="B216" s="12" t="s">
        <v>1124</v>
      </c>
      <c r="C216" s="12" t="s">
        <v>1125</v>
      </c>
      <c r="D216" s="13">
        <v>1700000</v>
      </c>
    </row>
    <row r="217" spans="1:4" ht="26.25" customHeight="1" x14ac:dyDescent="0.4">
      <c r="A217" s="60"/>
      <c r="B217" s="12" t="s">
        <v>1126</v>
      </c>
      <c r="C217" s="12" t="s">
        <v>1127</v>
      </c>
      <c r="D217" s="13">
        <v>170000</v>
      </c>
    </row>
    <row r="218" spans="1:4" ht="26.25" customHeight="1" x14ac:dyDescent="0.4">
      <c r="A218" s="60"/>
      <c r="B218" s="12" t="s">
        <v>1128</v>
      </c>
      <c r="C218" s="12" t="s">
        <v>1129</v>
      </c>
      <c r="D218" s="13">
        <v>170000</v>
      </c>
    </row>
    <row r="219" spans="1:4" ht="26.25" customHeight="1" x14ac:dyDescent="0.4">
      <c r="A219" s="60"/>
      <c r="B219" s="12" t="s">
        <v>1130</v>
      </c>
      <c r="C219" s="12" t="s">
        <v>1131</v>
      </c>
      <c r="D219" s="13">
        <v>180000</v>
      </c>
    </row>
    <row r="220" spans="1:4" ht="26.25" customHeight="1" x14ac:dyDescent="0.4">
      <c r="A220" s="60"/>
      <c r="B220" s="12" t="s">
        <v>1132</v>
      </c>
      <c r="C220" s="12" t="s">
        <v>1133</v>
      </c>
      <c r="D220" s="13">
        <v>180000</v>
      </c>
    </row>
    <row r="221" spans="1:4" ht="26.25" customHeight="1" x14ac:dyDescent="0.4">
      <c r="A221" s="60"/>
      <c r="B221" s="12" t="s">
        <v>1134</v>
      </c>
      <c r="C221" s="12" t="s">
        <v>1135</v>
      </c>
      <c r="D221" s="13">
        <v>250000</v>
      </c>
    </row>
    <row r="222" spans="1:4" ht="26.25" customHeight="1" x14ac:dyDescent="0.4">
      <c r="A222" s="60"/>
      <c r="B222" s="12" t="s">
        <v>1136</v>
      </c>
      <c r="C222" s="12" t="s">
        <v>1137</v>
      </c>
      <c r="D222" s="13">
        <v>290000</v>
      </c>
    </row>
    <row r="223" spans="1:4" ht="26.25" customHeight="1" x14ac:dyDescent="0.4">
      <c r="A223" s="60"/>
      <c r="B223" s="12" t="s">
        <v>1138</v>
      </c>
      <c r="C223" s="12" t="s">
        <v>1139</v>
      </c>
      <c r="D223" s="13">
        <v>690000</v>
      </c>
    </row>
    <row r="224" spans="1:4" ht="26.25" customHeight="1" x14ac:dyDescent="0.4">
      <c r="A224" s="60"/>
      <c r="B224" s="12" t="s">
        <v>1140</v>
      </c>
      <c r="C224" s="12" t="s">
        <v>1141</v>
      </c>
      <c r="D224" s="13">
        <v>770000</v>
      </c>
    </row>
    <row r="225" spans="1:4" ht="26.25" customHeight="1" x14ac:dyDescent="0.4">
      <c r="A225" s="60">
        <v>1</v>
      </c>
      <c r="B225" s="12" t="s">
        <v>1142</v>
      </c>
      <c r="C225" s="12" t="s">
        <v>1143</v>
      </c>
      <c r="D225" s="13">
        <v>370000</v>
      </c>
    </row>
    <row r="226" spans="1:4" ht="26.25" customHeight="1" x14ac:dyDescent="0.4">
      <c r="A226" s="60"/>
      <c r="B226" s="12" t="s">
        <v>1144</v>
      </c>
      <c r="C226" s="12" t="s">
        <v>1145</v>
      </c>
      <c r="D226" s="13">
        <v>1500000</v>
      </c>
    </row>
    <row r="227" spans="1:4" ht="26.25" customHeight="1" x14ac:dyDescent="0.4">
      <c r="A227" s="60"/>
      <c r="B227" s="12" t="s">
        <v>1146</v>
      </c>
      <c r="C227" s="12" t="s">
        <v>1147</v>
      </c>
      <c r="D227" s="13">
        <v>1600000</v>
      </c>
    </row>
    <row r="228" spans="1:4" ht="26.25" customHeight="1" x14ac:dyDescent="0.4">
      <c r="A228" s="60"/>
      <c r="B228" s="12" t="s">
        <v>1148</v>
      </c>
      <c r="C228" s="12" t="s">
        <v>1149</v>
      </c>
      <c r="D228" s="13">
        <v>1700000</v>
      </c>
    </row>
    <row r="229" spans="1:4" ht="26.25" customHeight="1" x14ac:dyDescent="0.4">
      <c r="A229" s="60"/>
      <c r="B229" s="12" t="s">
        <v>1150</v>
      </c>
      <c r="C229" s="12" t="s">
        <v>1151</v>
      </c>
      <c r="D229" s="13">
        <v>650000</v>
      </c>
    </row>
    <row r="230" spans="1:4" ht="26.25" customHeight="1" x14ac:dyDescent="0.4">
      <c r="A230" s="60"/>
      <c r="B230" s="12" t="s">
        <v>1152</v>
      </c>
      <c r="C230" s="12" t="s">
        <v>1153</v>
      </c>
      <c r="D230" s="13">
        <v>700000</v>
      </c>
    </row>
    <row r="231" spans="1:4" ht="26.25" customHeight="1" x14ac:dyDescent="0.4">
      <c r="A231" s="60"/>
      <c r="B231" s="12" t="s">
        <v>1154</v>
      </c>
      <c r="C231" s="12" t="s">
        <v>1155</v>
      </c>
      <c r="D231" s="13">
        <v>520000</v>
      </c>
    </row>
    <row r="232" spans="1:4" ht="26.25" customHeight="1" x14ac:dyDescent="0.4">
      <c r="A232" s="60"/>
      <c r="B232" s="12" t="s">
        <v>1156</v>
      </c>
      <c r="C232" s="12" t="s">
        <v>1157</v>
      </c>
      <c r="D232" s="13">
        <v>700000</v>
      </c>
    </row>
    <row r="233" spans="1:4" ht="26.25" customHeight="1" x14ac:dyDescent="0.4">
      <c r="A233" s="60"/>
      <c r="B233" s="12" t="s">
        <v>1158</v>
      </c>
      <c r="C233" s="12" t="s">
        <v>1159</v>
      </c>
      <c r="D233" s="13">
        <v>400000</v>
      </c>
    </row>
    <row r="234" spans="1:4" ht="26.25" customHeight="1" x14ac:dyDescent="0.4">
      <c r="A234" s="60"/>
      <c r="B234" s="12" t="s">
        <v>1160</v>
      </c>
      <c r="C234" s="12" t="s">
        <v>1161</v>
      </c>
      <c r="D234" s="13">
        <v>1550000</v>
      </c>
    </row>
    <row r="235" spans="1:4" ht="26.25" customHeight="1" x14ac:dyDescent="0.4">
      <c r="A235" s="60"/>
      <c r="B235" s="12" t="s">
        <v>1162</v>
      </c>
      <c r="C235" s="12" t="s">
        <v>1163</v>
      </c>
      <c r="D235" s="13">
        <v>1250000</v>
      </c>
    </row>
    <row r="236" spans="1:4" ht="26.25" customHeight="1" x14ac:dyDescent="0.4">
      <c r="A236" s="60"/>
      <c r="B236" s="12" t="s">
        <v>1164</v>
      </c>
      <c r="C236" s="12" t="s">
        <v>1165</v>
      </c>
      <c r="D236" s="13">
        <v>1550000</v>
      </c>
    </row>
    <row r="237" spans="1:4" ht="26.25" customHeight="1" x14ac:dyDescent="0.4">
      <c r="A237" s="60"/>
      <c r="B237" s="12" t="s">
        <v>1166</v>
      </c>
      <c r="C237" s="12" t="s">
        <v>1167</v>
      </c>
      <c r="D237" s="13">
        <v>1550000</v>
      </c>
    </row>
    <row r="238" spans="1:4" ht="26.25" customHeight="1" x14ac:dyDescent="0.4">
      <c r="A238" s="60"/>
      <c r="B238" s="12" t="s">
        <v>1168</v>
      </c>
      <c r="C238" s="12" t="s">
        <v>1169</v>
      </c>
      <c r="D238" s="13">
        <v>700000</v>
      </c>
    </row>
    <row r="239" spans="1:4" ht="26.25" customHeight="1" x14ac:dyDescent="0.4">
      <c r="A239" s="60"/>
      <c r="B239" s="12" t="s">
        <v>1170</v>
      </c>
      <c r="C239" s="12" t="s">
        <v>1171</v>
      </c>
      <c r="D239" s="13">
        <v>550000</v>
      </c>
    </row>
    <row r="240" spans="1:4" ht="26.25" customHeight="1" x14ac:dyDescent="0.4">
      <c r="A240" s="60"/>
      <c r="B240" s="12" t="s">
        <v>1172</v>
      </c>
      <c r="C240" s="12" t="s">
        <v>1173</v>
      </c>
      <c r="D240" s="13">
        <v>700000</v>
      </c>
    </row>
    <row r="241" spans="1:4" ht="26.25" customHeight="1" x14ac:dyDescent="0.4">
      <c r="A241" s="60"/>
      <c r="B241" s="12" t="s">
        <v>1174</v>
      </c>
      <c r="C241" s="12" t="s">
        <v>1175</v>
      </c>
      <c r="D241" s="13">
        <v>850000</v>
      </c>
    </row>
    <row r="242" spans="1:4" ht="26.25" customHeight="1" x14ac:dyDescent="0.4">
      <c r="A242" s="60"/>
      <c r="B242" s="12" t="s">
        <v>1176</v>
      </c>
      <c r="C242" s="12" t="s">
        <v>1177</v>
      </c>
      <c r="D242" s="13">
        <v>600000</v>
      </c>
    </row>
    <row r="243" spans="1:4" ht="26.25" customHeight="1" x14ac:dyDescent="0.4">
      <c r="A243" s="60"/>
      <c r="B243" s="12" t="s">
        <v>1178</v>
      </c>
      <c r="C243" s="12" t="s">
        <v>1179</v>
      </c>
      <c r="D243" s="13">
        <v>460000</v>
      </c>
    </row>
    <row r="244" spans="1:4" ht="26.25" customHeight="1" x14ac:dyDescent="0.4">
      <c r="A244" s="60"/>
      <c r="B244" s="12" t="s">
        <v>1180</v>
      </c>
      <c r="C244" s="12" t="s">
        <v>1181</v>
      </c>
      <c r="D244" s="13">
        <v>2100000</v>
      </c>
    </row>
    <row r="245" spans="1:4" ht="26.25" customHeight="1" x14ac:dyDescent="0.4">
      <c r="A245" s="60"/>
      <c r="B245" s="12" t="s">
        <v>1182</v>
      </c>
      <c r="C245" s="12" t="s">
        <v>1183</v>
      </c>
      <c r="D245" s="13">
        <v>2300000</v>
      </c>
    </row>
    <row r="246" spans="1:4" ht="26.25" customHeight="1" x14ac:dyDescent="0.4">
      <c r="A246" s="60"/>
      <c r="B246" s="12" t="s">
        <v>1184</v>
      </c>
      <c r="C246" s="12" t="s">
        <v>1185</v>
      </c>
      <c r="D246" s="13">
        <v>2200000</v>
      </c>
    </row>
    <row r="247" spans="1:4" ht="26.25" customHeight="1" x14ac:dyDescent="0.4">
      <c r="A247" s="60"/>
      <c r="B247" s="12" t="s">
        <v>1186</v>
      </c>
      <c r="C247" s="12" t="s">
        <v>1187</v>
      </c>
      <c r="D247" s="13">
        <v>1000000</v>
      </c>
    </row>
    <row r="248" spans="1:4" ht="26.25" customHeight="1" x14ac:dyDescent="0.4">
      <c r="A248" s="60"/>
      <c r="B248" s="12" t="s">
        <v>1188</v>
      </c>
      <c r="C248" s="12" t="s">
        <v>1189</v>
      </c>
      <c r="D248" s="13">
        <v>740000</v>
      </c>
    </row>
    <row r="249" spans="1:4" ht="26.25" customHeight="1" x14ac:dyDescent="0.4">
      <c r="A249" s="60"/>
      <c r="B249" s="12" t="s">
        <v>1190</v>
      </c>
      <c r="C249" s="12" t="s">
        <v>1191</v>
      </c>
      <c r="D249" s="13">
        <v>650000</v>
      </c>
    </row>
    <row r="250" spans="1:4" ht="26.25" customHeight="1" x14ac:dyDescent="0.4">
      <c r="A250" s="60"/>
      <c r="B250" s="12" t="s">
        <v>1192</v>
      </c>
      <c r="C250" s="12" t="s">
        <v>1193</v>
      </c>
      <c r="D250" s="13">
        <v>1000000</v>
      </c>
    </row>
    <row r="251" spans="1:4" ht="26.25" customHeight="1" x14ac:dyDescent="0.4">
      <c r="A251" s="60"/>
      <c r="B251" s="12" t="s">
        <v>1194</v>
      </c>
      <c r="C251" s="12" t="s">
        <v>1195</v>
      </c>
      <c r="D251" s="13">
        <v>1000000</v>
      </c>
    </row>
    <row r="252" spans="1:4" ht="26.25" customHeight="1" x14ac:dyDescent="0.4">
      <c r="A252" s="60">
        <v>1</v>
      </c>
      <c r="B252" s="12" t="s">
        <v>1196</v>
      </c>
      <c r="C252" s="12" t="s">
        <v>1197</v>
      </c>
      <c r="D252" s="13">
        <v>330000</v>
      </c>
    </row>
    <row r="253" spans="1:4" ht="26.25" customHeight="1" x14ac:dyDescent="0.4">
      <c r="A253" s="60">
        <v>1</v>
      </c>
      <c r="B253" s="12" t="s">
        <v>1198</v>
      </c>
      <c r="C253" s="12" t="s">
        <v>1199</v>
      </c>
      <c r="D253" s="13">
        <v>340000</v>
      </c>
    </row>
    <row r="254" spans="1:4" ht="26.25" customHeight="1" x14ac:dyDescent="0.4">
      <c r="A254" s="60">
        <v>1</v>
      </c>
      <c r="B254" s="12" t="s">
        <v>1200</v>
      </c>
      <c r="C254" s="12" t="s">
        <v>1201</v>
      </c>
      <c r="D254" s="13">
        <v>370000</v>
      </c>
    </row>
    <row r="255" spans="1:4" ht="26.25" customHeight="1" x14ac:dyDescent="0.4">
      <c r="A255" s="60">
        <v>1</v>
      </c>
      <c r="B255" s="12" t="s">
        <v>1202</v>
      </c>
      <c r="C255" s="12" t="s">
        <v>1203</v>
      </c>
      <c r="D255" s="13">
        <v>390000</v>
      </c>
    </row>
    <row r="256" spans="1:4" ht="26.25" customHeight="1" x14ac:dyDescent="0.4">
      <c r="A256" s="60"/>
      <c r="B256" s="12" t="s">
        <v>1204</v>
      </c>
      <c r="C256" s="12" t="s">
        <v>1205</v>
      </c>
      <c r="D256" s="13">
        <v>330000</v>
      </c>
    </row>
    <row r="257" spans="1:4" ht="26.25" customHeight="1" x14ac:dyDescent="0.4">
      <c r="A257" s="60"/>
      <c r="B257" s="12" t="s">
        <v>1206</v>
      </c>
      <c r="C257" s="12" t="s">
        <v>1207</v>
      </c>
      <c r="D257" s="13">
        <v>340000</v>
      </c>
    </row>
    <row r="258" spans="1:4" ht="26.25" customHeight="1" x14ac:dyDescent="0.4">
      <c r="A258" s="60"/>
      <c r="B258" s="12" t="s">
        <v>1208</v>
      </c>
      <c r="C258" s="12" t="s">
        <v>1209</v>
      </c>
      <c r="D258" s="13">
        <v>350000</v>
      </c>
    </row>
    <row r="259" spans="1:4" ht="26.25" customHeight="1" x14ac:dyDescent="0.4">
      <c r="A259" s="60"/>
      <c r="B259" s="12" t="s">
        <v>1210</v>
      </c>
      <c r="C259" s="12" t="s">
        <v>1211</v>
      </c>
      <c r="D259" s="13">
        <v>370000</v>
      </c>
    </row>
    <row r="260" spans="1:4" ht="26.25" customHeight="1" x14ac:dyDescent="0.4">
      <c r="A260" s="60"/>
      <c r="B260" s="12" t="s">
        <v>1212</v>
      </c>
      <c r="C260" s="12" t="s">
        <v>1213</v>
      </c>
      <c r="D260" s="13">
        <v>350000</v>
      </c>
    </row>
    <row r="261" spans="1:4" ht="26.25" customHeight="1" x14ac:dyDescent="0.4">
      <c r="A261" s="60"/>
      <c r="B261" s="12" t="s">
        <v>1214</v>
      </c>
      <c r="C261" s="12" t="s">
        <v>1215</v>
      </c>
      <c r="D261" s="13">
        <v>370000</v>
      </c>
    </row>
    <row r="262" spans="1:4" ht="26.25" customHeight="1" x14ac:dyDescent="0.4">
      <c r="A262" s="60"/>
      <c r="B262" s="12" t="s">
        <v>1216</v>
      </c>
      <c r="C262" s="12" t="s">
        <v>1217</v>
      </c>
      <c r="D262" s="13">
        <v>650000</v>
      </c>
    </row>
    <row r="263" spans="1:4" ht="26.25" customHeight="1" x14ac:dyDescent="0.4">
      <c r="A263" s="60"/>
      <c r="B263" s="12" t="s">
        <v>1218</v>
      </c>
      <c r="C263" s="12" t="s">
        <v>1219</v>
      </c>
      <c r="D263" s="13">
        <v>160000</v>
      </c>
    </row>
    <row r="264" spans="1:4" ht="26.25" customHeight="1" x14ac:dyDescent="0.4">
      <c r="A264" s="60"/>
      <c r="B264" s="12" t="s">
        <v>1220</v>
      </c>
      <c r="C264" s="12" t="s">
        <v>1221</v>
      </c>
      <c r="D264" s="13">
        <v>200000</v>
      </c>
    </row>
    <row r="265" spans="1:4" ht="26.25" customHeight="1" x14ac:dyDescent="0.4">
      <c r="A265" s="60"/>
      <c r="B265" s="12" t="s">
        <v>1222</v>
      </c>
      <c r="C265" s="12" t="s">
        <v>1223</v>
      </c>
      <c r="D265" s="13">
        <v>240000</v>
      </c>
    </row>
    <row r="266" spans="1:4" ht="26.25" customHeight="1" x14ac:dyDescent="0.4">
      <c r="A266" s="60"/>
      <c r="B266" s="12" t="s">
        <v>1224</v>
      </c>
      <c r="C266" s="12" t="s">
        <v>1225</v>
      </c>
      <c r="D266" s="13">
        <v>170000</v>
      </c>
    </row>
    <row r="267" spans="1:4" ht="26.25" customHeight="1" x14ac:dyDescent="0.4">
      <c r="A267" s="60"/>
      <c r="B267" s="12" t="s">
        <v>1226</v>
      </c>
      <c r="C267" s="12" t="s">
        <v>1227</v>
      </c>
      <c r="D267" s="13">
        <v>330000</v>
      </c>
    </row>
    <row r="268" spans="1:4" ht="26.25" customHeight="1" x14ac:dyDescent="0.4">
      <c r="A268" s="60"/>
      <c r="B268" s="12" t="s">
        <v>1228</v>
      </c>
      <c r="C268" s="12" t="s">
        <v>1229</v>
      </c>
      <c r="D268" s="13">
        <v>1930000</v>
      </c>
    </row>
    <row r="269" spans="1:4" ht="26.25" customHeight="1" x14ac:dyDescent="0.4">
      <c r="A269" s="60"/>
      <c r="B269" s="12" t="s">
        <v>1230</v>
      </c>
      <c r="C269" s="12" t="s">
        <v>1231</v>
      </c>
      <c r="D269" s="13">
        <v>1700000</v>
      </c>
    </row>
    <row r="270" spans="1:4" ht="26.25" customHeight="1" x14ac:dyDescent="0.4">
      <c r="A270" s="60"/>
      <c r="B270" s="12" t="s">
        <v>1232</v>
      </c>
      <c r="C270" s="12" t="s">
        <v>1233</v>
      </c>
      <c r="D270" s="13">
        <v>4600000</v>
      </c>
    </row>
    <row r="271" spans="1:4" ht="26.25" customHeight="1" x14ac:dyDescent="0.4">
      <c r="A271" s="60"/>
      <c r="B271" s="12" t="s">
        <v>1234</v>
      </c>
      <c r="C271" s="12" t="s">
        <v>1235</v>
      </c>
      <c r="D271" s="13">
        <v>2500000</v>
      </c>
    </row>
    <row r="272" spans="1:4" ht="26.25" customHeight="1" x14ac:dyDescent="0.4">
      <c r="A272" s="60"/>
      <c r="B272" s="12" t="s">
        <v>1236</v>
      </c>
      <c r="C272" s="12" t="s">
        <v>1237</v>
      </c>
      <c r="D272" s="13">
        <v>5110000</v>
      </c>
    </row>
    <row r="273" spans="1:4" ht="26.25" customHeight="1" x14ac:dyDescent="0.4">
      <c r="A273" s="60"/>
      <c r="B273" s="12" t="s">
        <v>1238</v>
      </c>
      <c r="C273" s="12" t="s">
        <v>1239</v>
      </c>
      <c r="D273" s="13">
        <v>9570000</v>
      </c>
    </row>
    <row r="274" spans="1:4" ht="26.25" customHeight="1" x14ac:dyDescent="0.4">
      <c r="A274" s="60"/>
      <c r="B274" s="12" t="s">
        <v>1240</v>
      </c>
      <c r="C274" s="12" t="s">
        <v>1241</v>
      </c>
      <c r="D274" s="13">
        <v>5000000</v>
      </c>
    </row>
    <row r="275" spans="1:4" ht="26.25" customHeight="1" x14ac:dyDescent="0.4">
      <c r="A275" s="60"/>
      <c r="B275" s="12" t="s">
        <v>1242</v>
      </c>
      <c r="C275" s="12" t="s">
        <v>1243</v>
      </c>
      <c r="D275" s="13">
        <v>3070000</v>
      </c>
    </row>
    <row r="276" spans="1:4" ht="26.25" customHeight="1" x14ac:dyDescent="0.4">
      <c r="A276" s="60"/>
      <c r="B276" s="12" t="s">
        <v>1244</v>
      </c>
      <c r="C276" s="12" t="s">
        <v>1245</v>
      </c>
      <c r="D276" s="13">
        <v>3970000</v>
      </c>
    </row>
    <row r="277" spans="1:4" ht="26.25" customHeight="1" x14ac:dyDescent="0.4">
      <c r="A277" s="60"/>
      <c r="B277" s="12" t="s">
        <v>1246</v>
      </c>
      <c r="C277" s="12" t="s">
        <v>1247</v>
      </c>
      <c r="D277" s="13">
        <v>900000</v>
      </c>
    </row>
    <row r="278" spans="1:4" ht="26.25" customHeight="1" x14ac:dyDescent="0.4">
      <c r="A278" s="60"/>
      <c r="B278" s="12" t="s">
        <v>1248</v>
      </c>
      <c r="C278" s="12" t="s">
        <v>1249</v>
      </c>
      <c r="D278" s="13">
        <v>1050000</v>
      </c>
    </row>
    <row r="279" spans="1:4" ht="26.25" customHeight="1" x14ac:dyDescent="0.4">
      <c r="A279" s="60">
        <v>1</v>
      </c>
      <c r="B279" s="12" t="s">
        <v>1250</v>
      </c>
      <c r="C279" s="12" t="s">
        <v>1251</v>
      </c>
      <c r="D279" s="13">
        <v>1100000</v>
      </c>
    </row>
    <row r="280" spans="1:4" ht="26.25" customHeight="1" x14ac:dyDescent="0.4">
      <c r="A280" s="60"/>
      <c r="B280" s="12" t="s">
        <v>1252</v>
      </c>
      <c r="C280" s="12" t="s">
        <v>1253</v>
      </c>
      <c r="D280" s="13">
        <v>1250000</v>
      </c>
    </row>
    <row r="281" spans="1:4" ht="26.25" customHeight="1" x14ac:dyDescent="0.4">
      <c r="A281" s="60"/>
      <c r="B281" s="12" t="s">
        <v>1254</v>
      </c>
      <c r="C281" s="12" t="s">
        <v>1255</v>
      </c>
      <c r="D281" s="13">
        <v>2180000</v>
      </c>
    </row>
    <row r="282" spans="1:4" ht="26.25" customHeight="1" x14ac:dyDescent="0.4">
      <c r="A282" s="60"/>
      <c r="B282" s="12" t="s">
        <v>1256</v>
      </c>
      <c r="C282" s="12" t="s">
        <v>1257</v>
      </c>
      <c r="D282" s="13">
        <v>2200000</v>
      </c>
    </row>
    <row r="283" spans="1:4" ht="26.25" customHeight="1" x14ac:dyDescent="0.4">
      <c r="A283" s="60"/>
      <c r="B283" s="12" t="s">
        <v>1258</v>
      </c>
      <c r="C283" s="12" t="s">
        <v>1259</v>
      </c>
      <c r="D283" s="13">
        <v>2400000</v>
      </c>
    </row>
    <row r="284" spans="1:4" ht="26.25" customHeight="1" x14ac:dyDescent="0.4">
      <c r="A284" s="60"/>
      <c r="B284" s="12" t="s">
        <v>1260</v>
      </c>
      <c r="C284" s="12" t="s">
        <v>1261</v>
      </c>
      <c r="D284" s="13">
        <v>3300000</v>
      </c>
    </row>
    <row r="285" spans="1:4" ht="26.25" customHeight="1" x14ac:dyDescent="0.4">
      <c r="A285" s="60"/>
      <c r="B285" s="12" t="s">
        <v>1262</v>
      </c>
      <c r="C285" s="12" t="s">
        <v>1263</v>
      </c>
      <c r="D285" s="13">
        <v>3300000</v>
      </c>
    </row>
    <row r="286" spans="1:4" ht="26.25" customHeight="1" x14ac:dyDescent="0.4">
      <c r="A286" s="60"/>
      <c r="B286" s="12" t="s">
        <v>1264</v>
      </c>
      <c r="C286" s="12" t="s">
        <v>1265</v>
      </c>
      <c r="D286" s="13">
        <v>500000</v>
      </c>
    </row>
    <row r="287" spans="1:4" ht="26.25" customHeight="1" x14ac:dyDescent="0.4">
      <c r="A287" s="60"/>
      <c r="B287" s="12" t="s">
        <v>1266</v>
      </c>
      <c r="C287" s="12" t="s">
        <v>1267</v>
      </c>
      <c r="D287" s="13">
        <v>460000</v>
      </c>
    </row>
    <row r="288" spans="1:4" ht="26.25" customHeight="1" x14ac:dyDescent="0.4">
      <c r="A288" s="60"/>
      <c r="B288" s="12" t="s">
        <v>1268</v>
      </c>
      <c r="C288" s="12" t="s">
        <v>1269</v>
      </c>
      <c r="D288" s="13">
        <v>28000000</v>
      </c>
    </row>
    <row r="289" spans="1:4" ht="26.25" customHeight="1" x14ac:dyDescent="0.4">
      <c r="A289" s="60"/>
      <c r="B289" s="12" t="s">
        <v>1270</v>
      </c>
      <c r="C289" s="12" t="s">
        <v>1271</v>
      </c>
      <c r="D289" s="13">
        <v>28000000</v>
      </c>
    </row>
    <row r="290" spans="1:4" ht="26.25" customHeight="1" x14ac:dyDescent="0.4">
      <c r="A290" s="60"/>
      <c r="B290" s="12" t="s">
        <v>1272</v>
      </c>
      <c r="C290" s="12" t="s">
        <v>1273</v>
      </c>
      <c r="D290" s="13">
        <v>32000000</v>
      </c>
    </row>
    <row r="291" spans="1:4" ht="26.25" customHeight="1" x14ac:dyDescent="0.4">
      <c r="A291" s="60"/>
      <c r="B291" s="12" t="s">
        <v>1274</v>
      </c>
      <c r="C291" s="12" t="s">
        <v>1275</v>
      </c>
      <c r="D291" s="13">
        <v>32000000</v>
      </c>
    </row>
    <row r="292" spans="1:4" ht="26.25" customHeight="1" x14ac:dyDescent="0.4">
      <c r="A292" s="60"/>
      <c r="B292" s="12" t="s">
        <v>1276</v>
      </c>
      <c r="C292" s="12" t="s">
        <v>1277</v>
      </c>
      <c r="D292" s="13">
        <v>25730000</v>
      </c>
    </row>
    <row r="293" spans="1:4" ht="26.25" customHeight="1" x14ac:dyDescent="0.4">
      <c r="A293" s="60"/>
      <c r="B293" s="12" t="s">
        <v>1278</v>
      </c>
      <c r="C293" s="12" t="s">
        <v>1279</v>
      </c>
      <c r="D293" s="13">
        <v>1700000</v>
      </c>
    </row>
    <row r="294" spans="1:4" ht="26.25" customHeight="1" x14ac:dyDescent="0.4">
      <c r="A294" s="60"/>
      <c r="B294" s="12" t="s">
        <v>1280</v>
      </c>
      <c r="C294" s="12" t="s">
        <v>1281</v>
      </c>
      <c r="D294" s="13">
        <v>2700000</v>
      </c>
    </row>
    <row r="295" spans="1:4" ht="26.25" customHeight="1" x14ac:dyDescent="0.4">
      <c r="A295" s="60"/>
      <c r="B295" s="12" t="s">
        <v>1282</v>
      </c>
      <c r="C295" s="12" t="s">
        <v>1283</v>
      </c>
      <c r="D295" s="13">
        <v>500000</v>
      </c>
    </row>
    <row r="296" spans="1:4" ht="26.25" customHeight="1" x14ac:dyDescent="0.4">
      <c r="A296" s="60"/>
      <c r="B296" s="12" t="s">
        <v>1284</v>
      </c>
      <c r="C296" s="12" t="s">
        <v>1285</v>
      </c>
      <c r="D296" s="13">
        <v>3500000</v>
      </c>
    </row>
    <row r="297" spans="1:4" ht="26.25" customHeight="1" x14ac:dyDescent="0.4">
      <c r="A297" s="60"/>
      <c r="B297" s="12" t="s">
        <v>1286</v>
      </c>
      <c r="C297" s="12" t="s">
        <v>1287</v>
      </c>
      <c r="D297" s="13">
        <v>1580000</v>
      </c>
    </row>
    <row r="298" spans="1:4" ht="26.25" customHeight="1" x14ac:dyDescent="0.4">
      <c r="A298" s="60"/>
      <c r="B298" s="12" t="s">
        <v>1288</v>
      </c>
      <c r="C298" s="12" t="s">
        <v>1289</v>
      </c>
      <c r="D298" s="13">
        <v>3700000</v>
      </c>
    </row>
    <row r="299" spans="1:4" ht="26.25" customHeight="1" x14ac:dyDescent="0.4">
      <c r="A299" s="60"/>
      <c r="B299" s="12" t="s">
        <v>1290</v>
      </c>
      <c r="C299" s="12" t="s">
        <v>1291</v>
      </c>
      <c r="D299" s="13">
        <v>1320000</v>
      </c>
    </row>
    <row r="300" spans="1:4" ht="26.25" customHeight="1" x14ac:dyDescent="0.4">
      <c r="A300" s="60"/>
      <c r="B300" s="12" t="s">
        <v>1292</v>
      </c>
      <c r="C300" s="12" t="s">
        <v>1293</v>
      </c>
      <c r="D300" s="13">
        <v>1370000</v>
      </c>
    </row>
    <row r="301" spans="1:4" ht="26.25" customHeight="1" x14ac:dyDescent="0.4">
      <c r="A301" s="60"/>
      <c r="B301" s="12" t="s">
        <v>1294</v>
      </c>
      <c r="C301" s="12" t="s">
        <v>1295</v>
      </c>
      <c r="D301" s="13">
        <v>2100000</v>
      </c>
    </row>
    <row r="302" spans="1:4" ht="26.25" customHeight="1" x14ac:dyDescent="0.4">
      <c r="A302" s="60"/>
      <c r="B302" s="12" t="s">
        <v>1296</v>
      </c>
      <c r="C302" s="12" t="s">
        <v>1297</v>
      </c>
      <c r="D302" s="13">
        <v>3210000</v>
      </c>
    </row>
    <row r="303" spans="1:4" ht="26.25" customHeight="1" x14ac:dyDescent="0.4">
      <c r="A303" s="60"/>
      <c r="B303" s="12" t="s">
        <v>1298</v>
      </c>
      <c r="C303" s="12" t="s">
        <v>1299</v>
      </c>
      <c r="D303" s="13">
        <v>1790000</v>
      </c>
    </row>
    <row r="304" spans="1:4" ht="26.25" customHeight="1" x14ac:dyDescent="0.4">
      <c r="A304" s="60"/>
      <c r="B304" s="12" t="s">
        <v>1300</v>
      </c>
      <c r="C304" s="12" t="s">
        <v>1301</v>
      </c>
      <c r="D304" s="13">
        <v>1680000</v>
      </c>
    </row>
    <row r="305" spans="1:4" ht="26.25" customHeight="1" x14ac:dyDescent="0.4">
      <c r="A305" s="60"/>
      <c r="B305" s="12" t="s">
        <v>1302</v>
      </c>
      <c r="C305" s="12" t="s">
        <v>1303</v>
      </c>
      <c r="D305" s="13">
        <v>1580000</v>
      </c>
    </row>
    <row r="306" spans="1:4" ht="26.25" customHeight="1" x14ac:dyDescent="0.4">
      <c r="A306" s="60"/>
      <c r="B306" s="12" t="s">
        <v>1304</v>
      </c>
      <c r="C306" s="12" t="s">
        <v>1305</v>
      </c>
      <c r="D306" s="13">
        <v>5500000</v>
      </c>
    </row>
    <row r="307" spans="1:4" ht="26.25" customHeight="1" x14ac:dyDescent="0.4">
      <c r="A307" s="60"/>
      <c r="B307" s="12" t="s">
        <v>1306</v>
      </c>
      <c r="C307" s="12" t="s">
        <v>1307</v>
      </c>
      <c r="D307" s="13">
        <v>620000</v>
      </c>
    </row>
    <row r="308" spans="1:4" ht="26.25" customHeight="1" x14ac:dyDescent="0.4">
      <c r="A308" s="60"/>
      <c r="B308" s="12" t="s">
        <v>1308</v>
      </c>
      <c r="C308" s="12" t="s">
        <v>1309</v>
      </c>
      <c r="D308" s="13">
        <v>620000</v>
      </c>
    </row>
    <row r="309" spans="1:4" ht="26.25" customHeight="1" x14ac:dyDescent="0.4">
      <c r="A309" s="60">
        <v>1</v>
      </c>
      <c r="B309" s="12" t="s">
        <v>1310</v>
      </c>
      <c r="C309" s="12" t="s">
        <v>1311</v>
      </c>
      <c r="D309" s="13">
        <v>750000</v>
      </c>
    </row>
    <row r="310" spans="1:4" ht="26.25" customHeight="1" x14ac:dyDescent="0.4">
      <c r="A310" s="60"/>
      <c r="B310" s="12" t="s">
        <v>1312</v>
      </c>
      <c r="C310" s="12" t="s">
        <v>1313</v>
      </c>
      <c r="D310" s="13">
        <v>850000</v>
      </c>
    </row>
    <row r="311" spans="1:4" ht="26.25" customHeight="1" x14ac:dyDescent="0.4">
      <c r="A311" s="60"/>
      <c r="B311" s="12" t="s">
        <v>1314</v>
      </c>
      <c r="C311" s="12" t="s">
        <v>1315</v>
      </c>
      <c r="D311" s="13">
        <v>750000</v>
      </c>
    </row>
    <row r="312" spans="1:4" ht="26.25" customHeight="1" x14ac:dyDescent="0.4">
      <c r="A312" s="60"/>
      <c r="B312" s="12" t="s">
        <v>1316</v>
      </c>
      <c r="C312" s="12" t="s">
        <v>1317</v>
      </c>
      <c r="D312" s="13">
        <v>750000</v>
      </c>
    </row>
    <row r="313" spans="1:4" ht="26.25" customHeight="1" x14ac:dyDescent="0.4">
      <c r="A313" s="60"/>
      <c r="B313" s="12" t="s">
        <v>1318</v>
      </c>
      <c r="C313" s="12" t="s">
        <v>1319</v>
      </c>
      <c r="D313" s="13">
        <v>780000</v>
      </c>
    </row>
    <row r="314" spans="1:4" ht="26.25" customHeight="1" x14ac:dyDescent="0.4">
      <c r="A314" s="60"/>
      <c r="B314" s="12" t="s">
        <v>1320</v>
      </c>
      <c r="C314" s="12" t="s">
        <v>1321</v>
      </c>
      <c r="D314" s="13">
        <v>850000</v>
      </c>
    </row>
    <row r="315" spans="1:4" ht="26.25" customHeight="1" x14ac:dyDescent="0.4">
      <c r="A315" s="60"/>
      <c r="B315" s="12" t="s">
        <v>1322</v>
      </c>
      <c r="C315" s="12" t="s">
        <v>1323</v>
      </c>
      <c r="D315" s="13">
        <v>800000</v>
      </c>
    </row>
    <row r="316" spans="1:4" ht="26.25" customHeight="1" x14ac:dyDescent="0.4">
      <c r="A316" s="60"/>
      <c r="B316" s="12" t="s">
        <v>1324</v>
      </c>
      <c r="C316" s="12" t="s">
        <v>1325</v>
      </c>
      <c r="D316" s="13">
        <v>820000</v>
      </c>
    </row>
    <row r="317" spans="1:4" ht="26.25" customHeight="1" x14ac:dyDescent="0.4">
      <c r="A317" s="60"/>
      <c r="B317" s="12" t="s">
        <v>1326</v>
      </c>
      <c r="C317" s="12" t="s">
        <v>1327</v>
      </c>
      <c r="D317" s="13">
        <v>910000</v>
      </c>
    </row>
    <row r="318" spans="1:4" ht="26.25" customHeight="1" x14ac:dyDescent="0.4">
      <c r="A318" s="60"/>
      <c r="B318" s="12" t="s">
        <v>1328</v>
      </c>
      <c r="C318" s="12" t="s">
        <v>1329</v>
      </c>
      <c r="D318" s="13">
        <v>800000</v>
      </c>
    </row>
    <row r="319" spans="1:4" ht="26.25" customHeight="1" x14ac:dyDescent="0.4">
      <c r="A319" s="60"/>
      <c r="B319" s="12" t="s">
        <v>1330</v>
      </c>
      <c r="C319" s="12" t="s">
        <v>1331</v>
      </c>
      <c r="D319" s="13">
        <v>800000</v>
      </c>
    </row>
    <row r="320" spans="1:4" ht="26.25" customHeight="1" x14ac:dyDescent="0.4">
      <c r="A320" s="60"/>
      <c r="B320" s="12" t="s">
        <v>1332</v>
      </c>
      <c r="C320" s="12" t="s">
        <v>1333</v>
      </c>
      <c r="D320" s="13">
        <v>910000</v>
      </c>
    </row>
    <row r="321" spans="1:4" ht="26.25" customHeight="1" x14ac:dyDescent="0.4">
      <c r="A321" s="60">
        <v>1</v>
      </c>
      <c r="B321" s="12" t="s">
        <v>1334</v>
      </c>
      <c r="C321" s="12" t="s">
        <v>1335</v>
      </c>
      <c r="D321" s="13">
        <v>820000</v>
      </c>
    </row>
    <row r="322" spans="1:4" ht="26.25" customHeight="1" x14ac:dyDescent="0.4">
      <c r="A322" s="60"/>
      <c r="B322" s="12" t="s">
        <v>1336</v>
      </c>
      <c r="C322" s="12" t="s">
        <v>1337</v>
      </c>
      <c r="D322" s="13">
        <v>820000</v>
      </c>
    </row>
    <row r="323" spans="1:4" ht="26.25" customHeight="1" x14ac:dyDescent="0.4">
      <c r="A323" s="60"/>
      <c r="B323" s="12" t="s">
        <v>1338</v>
      </c>
      <c r="C323" s="12" t="s">
        <v>1339</v>
      </c>
      <c r="D323" s="13">
        <v>910000</v>
      </c>
    </row>
    <row r="324" spans="1:4" ht="26.25" customHeight="1" x14ac:dyDescent="0.4">
      <c r="A324" s="60">
        <v>1</v>
      </c>
      <c r="B324" s="12" t="s">
        <v>1340</v>
      </c>
      <c r="C324" s="12" t="s">
        <v>1341</v>
      </c>
      <c r="D324" s="13">
        <v>950000</v>
      </c>
    </row>
    <row r="325" spans="1:4" ht="26.25" customHeight="1" x14ac:dyDescent="0.4">
      <c r="A325" s="60"/>
      <c r="B325" s="12" t="s">
        <v>1342</v>
      </c>
      <c r="C325" s="12" t="s">
        <v>1343</v>
      </c>
      <c r="D325" s="13">
        <v>1100000</v>
      </c>
    </row>
    <row r="326" spans="1:4" ht="26.25" customHeight="1" x14ac:dyDescent="0.4">
      <c r="A326" s="60"/>
      <c r="B326" s="12" t="s">
        <v>1344</v>
      </c>
      <c r="C326" s="12" t="s">
        <v>1345</v>
      </c>
      <c r="D326" s="13">
        <v>950000</v>
      </c>
    </row>
    <row r="327" spans="1:4" ht="26.25" customHeight="1" x14ac:dyDescent="0.4">
      <c r="A327" s="60"/>
      <c r="B327" s="12" t="s">
        <v>1346</v>
      </c>
      <c r="C327" s="12" t="s">
        <v>1347</v>
      </c>
      <c r="D327" s="13">
        <v>950000</v>
      </c>
    </row>
    <row r="328" spans="1:4" ht="26.25" customHeight="1" x14ac:dyDescent="0.4">
      <c r="A328" s="60"/>
      <c r="B328" s="12" t="s">
        <v>1348</v>
      </c>
      <c r="C328" s="12" t="s">
        <v>1349</v>
      </c>
      <c r="D328" s="13">
        <v>950000</v>
      </c>
    </row>
    <row r="329" spans="1:4" ht="26.25" customHeight="1" x14ac:dyDescent="0.4">
      <c r="A329" s="60"/>
      <c r="B329" s="12" t="s">
        <v>1350</v>
      </c>
      <c r="C329" s="12" t="s">
        <v>1351</v>
      </c>
      <c r="D329" s="13">
        <v>950000</v>
      </c>
    </row>
    <row r="330" spans="1:4" ht="26.25" customHeight="1" x14ac:dyDescent="0.4">
      <c r="A330" s="60"/>
      <c r="B330" s="12" t="s">
        <v>1352</v>
      </c>
      <c r="C330" s="12" t="s">
        <v>1353</v>
      </c>
      <c r="D330" s="13">
        <v>1100000</v>
      </c>
    </row>
    <row r="331" spans="1:4" ht="26.25" customHeight="1" x14ac:dyDescent="0.4">
      <c r="A331" s="60"/>
      <c r="B331" s="12" t="s">
        <v>1354</v>
      </c>
      <c r="C331" s="12" t="s">
        <v>1355</v>
      </c>
      <c r="D331" s="13">
        <v>950000</v>
      </c>
    </row>
    <row r="332" spans="1:4" ht="26.25" customHeight="1" x14ac:dyDescent="0.4">
      <c r="A332" s="60"/>
      <c r="B332" s="12" t="s">
        <v>1356</v>
      </c>
      <c r="C332" s="12" t="s">
        <v>1357</v>
      </c>
      <c r="D332" s="13">
        <v>950000</v>
      </c>
    </row>
    <row r="333" spans="1:4" ht="26.25" customHeight="1" x14ac:dyDescent="0.4">
      <c r="A333" s="60"/>
      <c r="B333" s="12" t="s">
        <v>1358</v>
      </c>
      <c r="C333" s="12" t="s">
        <v>1359</v>
      </c>
      <c r="D333" s="13">
        <v>1100000</v>
      </c>
    </row>
    <row r="334" spans="1:4" ht="26.25" customHeight="1" x14ac:dyDescent="0.4">
      <c r="A334" s="60"/>
      <c r="B334" s="12" t="s">
        <v>1360</v>
      </c>
      <c r="C334" s="12" t="s">
        <v>1361</v>
      </c>
      <c r="D334" s="13">
        <v>950000</v>
      </c>
    </row>
    <row r="335" spans="1:4" ht="26.25" customHeight="1" x14ac:dyDescent="0.4">
      <c r="A335" s="60"/>
      <c r="B335" s="12" t="s">
        <v>1362</v>
      </c>
      <c r="C335" s="12" t="s">
        <v>1363</v>
      </c>
      <c r="D335" s="13">
        <v>950000</v>
      </c>
    </row>
    <row r="336" spans="1:4" ht="26.25" customHeight="1" x14ac:dyDescent="0.4">
      <c r="A336" s="60"/>
      <c r="B336" s="12" t="s">
        <v>1364</v>
      </c>
      <c r="C336" s="12" t="s">
        <v>1365</v>
      </c>
      <c r="D336" s="13">
        <v>1100000</v>
      </c>
    </row>
    <row r="337" spans="1:4" ht="26.25" customHeight="1" x14ac:dyDescent="0.4">
      <c r="A337" s="60"/>
      <c r="B337" s="12" t="s">
        <v>1366</v>
      </c>
      <c r="C337" s="12" t="s">
        <v>1367</v>
      </c>
      <c r="D337" s="13">
        <v>950000</v>
      </c>
    </row>
    <row r="338" spans="1:4" ht="26.25" customHeight="1" x14ac:dyDescent="0.4">
      <c r="A338" s="60"/>
      <c r="B338" s="12" t="s">
        <v>1368</v>
      </c>
      <c r="C338" s="12" t="s">
        <v>1369</v>
      </c>
      <c r="D338" s="13">
        <v>950000</v>
      </c>
    </row>
    <row r="339" spans="1:4" ht="26.25" customHeight="1" x14ac:dyDescent="0.4">
      <c r="A339" s="60"/>
      <c r="B339" s="12" t="s">
        <v>1370</v>
      </c>
      <c r="C339" s="12" t="s">
        <v>1371</v>
      </c>
      <c r="D339" s="13">
        <v>1100000</v>
      </c>
    </row>
    <row r="340" spans="1:4" ht="26.25" customHeight="1" x14ac:dyDescent="0.4">
      <c r="A340" s="60"/>
      <c r="B340" s="12" t="s">
        <v>1372</v>
      </c>
      <c r="C340" s="12" t="s">
        <v>1373</v>
      </c>
      <c r="D340" s="13">
        <v>2570000</v>
      </c>
    </row>
    <row r="341" spans="1:4" ht="26.25" customHeight="1" x14ac:dyDescent="0.4">
      <c r="A341" s="60"/>
      <c r="B341" s="12" t="s">
        <v>1374</v>
      </c>
      <c r="C341" s="12" t="s">
        <v>1375</v>
      </c>
      <c r="D341" s="13">
        <v>2700000</v>
      </c>
    </row>
    <row r="342" spans="1:4" ht="26.25" customHeight="1" x14ac:dyDescent="0.4">
      <c r="A342" s="60"/>
      <c r="B342" s="12" t="s">
        <v>1376</v>
      </c>
      <c r="C342" s="12" t="s">
        <v>1377</v>
      </c>
      <c r="D342" s="13">
        <v>2820000</v>
      </c>
    </row>
    <row r="343" spans="1:4" ht="26.25" customHeight="1" x14ac:dyDescent="0.4">
      <c r="A343" s="60"/>
      <c r="B343" s="12" t="s">
        <v>1378</v>
      </c>
      <c r="C343" s="12" t="s">
        <v>1379</v>
      </c>
      <c r="D343" s="13">
        <v>1420000</v>
      </c>
    </row>
    <row r="344" spans="1:4" ht="26.25" customHeight="1" x14ac:dyDescent="0.4">
      <c r="A344" s="60"/>
      <c r="B344" s="12" t="s">
        <v>1380</v>
      </c>
      <c r="C344" s="12" t="s">
        <v>1381</v>
      </c>
      <c r="D344" s="13">
        <v>1420000</v>
      </c>
    </row>
    <row r="345" spans="1:4" ht="26.25" customHeight="1" x14ac:dyDescent="0.4">
      <c r="A345" s="60"/>
      <c r="B345" s="12" t="s">
        <v>1382</v>
      </c>
      <c r="C345" s="12" t="s">
        <v>1383</v>
      </c>
      <c r="D345" s="13">
        <v>1420000</v>
      </c>
    </row>
    <row r="346" spans="1:4" ht="26.25" customHeight="1" x14ac:dyDescent="0.4">
      <c r="A346" s="60"/>
      <c r="B346" s="12" t="s">
        <v>1384</v>
      </c>
      <c r="C346" s="12" t="s">
        <v>1385</v>
      </c>
      <c r="D346" s="13">
        <v>1420000</v>
      </c>
    </row>
    <row r="347" spans="1:4" ht="26.25" customHeight="1" x14ac:dyDescent="0.4">
      <c r="A347" s="60"/>
      <c r="B347" s="12" t="s">
        <v>1386</v>
      </c>
      <c r="C347" s="12" t="s">
        <v>1387</v>
      </c>
      <c r="D347" s="13">
        <v>1420000</v>
      </c>
    </row>
    <row r="348" spans="1:4" ht="26.25" customHeight="1" x14ac:dyDescent="0.4">
      <c r="A348" s="60"/>
      <c r="B348" s="12" t="s">
        <v>1388</v>
      </c>
      <c r="C348" s="12" t="s">
        <v>1389</v>
      </c>
      <c r="D348" s="13">
        <v>1420000</v>
      </c>
    </row>
    <row r="349" spans="1:4" ht="26.25" customHeight="1" x14ac:dyDescent="0.4">
      <c r="A349" s="60"/>
      <c r="B349" s="12" t="s">
        <v>1390</v>
      </c>
      <c r="C349" s="12" t="s">
        <v>1391</v>
      </c>
      <c r="D349" s="13">
        <v>1420000</v>
      </c>
    </row>
    <row r="350" spans="1:4" ht="26.25" customHeight="1" x14ac:dyDescent="0.4">
      <c r="A350" s="60"/>
      <c r="B350" s="12" t="s">
        <v>1392</v>
      </c>
      <c r="C350" s="12" t="s">
        <v>1393</v>
      </c>
      <c r="D350" s="13">
        <v>1420000</v>
      </c>
    </row>
    <row r="351" spans="1:4" ht="26.25" customHeight="1" x14ac:dyDescent="0.4">
      <c r="A351" s="60"/>
      <c r="B351" s="12" t="s">
        <v>1394</v>
      </c>
      <c r="C351" s="12" t="s">
        <v>1395</v>
      </c>
      <c r="D351" s="13">
        <v>12920000</v>
      </c>
    </row>
    <row r="352" spans="1:4" ht="26.25" customHeight="1" x14ac:dyDescent="0.4">
      <c r="A352" s="60"/>
      <c r="B352" s="12" t="s">
        <v>1396</v>
      </c>
      <c r="C352" s="12" t="s">
        <v>1397</v>
      </c>
      <c r="D352" s="13">
        <v>16800000</v>
      </c>
    </row>
    <row r="353" spans="1:4" ht="26.25" customHeight="1" x14ac:dyDescent="0.4">
      <c r="A353" s="60"/>
      <c r="B353" s="12" t="s">
        <v>1398</v>
      </c>
      <c r="C353" s="12" t="s">
        <v>1399</v>
      </c>
      <c r="D353" s="13">
        <v>18900000</v>
      </c>
    </row>
    <row r="354" spans="1:4" ht="26.25" customHeight="1" x14ac:dyDescent="0.4">
      <c r="A354" s="60"/>
      <c r="B354" s="12" t="s">
        <v>1400</v>
      </c>
      <c r="C354" s="12" t="s">
        <v>1401</v>
      </c>
      <c r="D354" s="13">
        <v>21000000</v>
      </c>
    </row>
    <row r="355" spans="1:4" ht="26.25" customHeight="1" x14ac:dyDescent="0.4">
      <c r="A355" s="60"/>
      <c r="B355" s="12" t="s">
        <v>1402</v>
      </c>
      <c r="C355" s="12" t="s">
        <v>1403</v>
      </c>
      <c r="D355" s="13">
        <v>32550000</v>
      </c>
    </row>
    <row r="356" spans="1:4" ht="26.25" customHeight="1" x14ac:dyDescent="0.4">
      <c r="A356" s="60"/>
      <c r="B356" s="12" t="s">
        <v>1404</v>
      </c>
      <c r="C356" s="12" t="s">
        <v>1405</v>
      </c>
      <c r="D356" s="13">
        <v>36750000</v>
      </c>
    </row>
    <row r="357" spans="1:4" ht="26.25" customHeight="1" x14ac:dyDescent="0.4">
      <c r="A357" s="60"/>
      <c r="B357" s="12" t="s">
        <v>1406</v>
      </c>
      <c r="C357" s="12" t="s">
        <v>1407</v>
      </c>
      <c r="D357" s="13">
        <v>680000</v>
      </c>
    </row>
    <row r="358" spans="1:4" ht="26.25" customHeight="1" x14ac:dyDescent="0.4">
      <c r="A358" s="60"/>
      <c r="B358" s="12" t="s">
        <v>1408</v>
      </c>
      <c r="C358" s="12" t="s">
        <v>1409</v>
      </c>
      <c r="D358" s="13">
        <v>1030000</v>
      </c>
    </row>
    <row r="359" spans="1:4" ht="26.25" customHeight="1" x14ac:dyDescent="0.4">
      <c r="A359" s="60"/>
      <c r="B359" s="12" t="s">
        <v>1410</v>
      </c>
      <c r="C359" s="12" t="s">
        <v>1411</v>
      </c>
      <c r="D359" s="13">
        <v>680000</v>
      </c>
    </row>
    <row r="360" spans="1:4" ht="26.25" customHeight="1" x14ac:dyDescent="0.4">
      <c r="A360" s="60"/>
      <c r="B360" s="12" t="s">
        <v>1412</v>
      </c>
      <c r="C360" s="12" t="s">
        <v>1413</v>
      </c>
      <c r="D360" s="13">
        <v>680000</v>
      </c>
    </row>
    <row r="361" spans="1:4" ht="26.25" customHeight="1" x14ac:dyDescent="0.4">
      <c r="A361" s="60"/>
      <c r="B361" s="12" t="s">
        <v>1414</v>
      </c>
      <c r="C361" s="12" t="s">
        <v>1415</v>
      </c>
      <c r="D361" s="13">
        <v>680000</v>
      </c>
    </row>
    <row r="362" spans="1:4" ht="26.25" customHeight="1" x14ac:dyDescent="0.4">
      <c r="A362" s="60"/>
      <c r="B362" s="12" t="s">
        <v>1416</v>
      </c>
      <c r="C362" s="12" t="s">
        <v>1417</v>
      </c>
      <c r="D362" s="13">
        <v>680000</v>
      </c>
    </row>
    <row r="363" spans="1:4" ht="26.25" customHeight="1" x14ac:dyDescent="0.4">
      <c r="A363" s="60"/>
      <c r="B363" s="12" t="s">
        <v>1418</v>
      </c>
      <c r="C363" s="12" t="s">
        <v>1419</v>
      </c>
      <c r="D363" s="13">
        <v>690000</v>
      </c>
    </row>
    <row r="364" spans="1:4" ht="26.25" customHeight="1" x14ac:dyDescent="0.4">
      <c r="A364" s="60"/>
      <c r="B364" s="12" t="s">
        <v>1420</v>
      </c>
      <c r="C364" s="12" t="s">
        <v>1421</v>
      </c>
      <c r="D364" s="13">
        <v>600000</v>
      </c>
    </row>
    <row r="365" spans="1:4" ht="26.25" customHeight="1" x14ac:dyDescent="0.4">
      <c r="A365" s="60">
        <v>1</v>
      </c>
      <c r="B365" s="12" t="s">
        <v>1422</v>
      </c>
      <c r="C365" s="12" t="s">
        <v>1423</v>
      </c>
      <c r="D365" s="13">
        <v>700000</v>
      </c>
    </row>
    <row r="366" spans="1:4" ht="26.25" customHeight="1" x14ac:dyDescent="0.4">
      <c r="A366" s="60"/>
      <c r="B366" s="12" t="s">
        <v>1424</v>
      </c>
      <c r="C366" s="12" t="s">
        <v>1425</v>
      </c>
      <c r="D366" s="13">
        <v>900000</v>
      </c>
    </row>
    <row r="367" spans="1:4" ht="26.25" customHeight="1" x14ac:dyDescent="0.4">
      <c r="A367" s="60">
        <v>1</v>
      </c>
      <c r="B367" s="12" t="s">
        <v>1426</v>
      </c>
      <c r="C367" s="12" t="s">
        <v>1427</v>
      </c>
      <c r="D367" s="13">
        <v>700000</v>
      </c>
    </row>
    <row r="368" spans="1:4" ht="26.25" customHeight="1" x14ac:dyDescent="0.4">
      <c r="A368" s="60">
        <v>1</v>
      </c>
      <c r="B368" s="12" t="s">
        <v>1428</v>
      </c>
      <c r="C368" s="12" t="s">
        <v>100</v>
      </c>
      <c r="D368" s="13">
        <v>1650000</v>
      </c>
    </row>
    <row r="369" spans="1:4" ht="26.25" customHeight="1" x14ac:dyDescent="0.4">
      <c r="A369" s="60"/>
      <c r="B369" s="12" t="s">
        <v>1429</v>
      </c>
      <c r="C369" s="12" t="s">
        <v>1430</v>
      </c>
      <c r="D369" s="13">
        <v>1750000</v>
      </c>
    </row>
    <row r="370" spans="1:4" ht="26.25" customHeight="1" x14ac:dyDescent="0.4">
      <c r="A370" s="60"/>
      <c r="B370" s="12" t="s">
        <v>1431</v>
      </c>
      <c r="C370" s="12" t="s">
        <v>1432</v>
      </c>
      <c r="D370" s="13">
        <v>2250000</v>
      </c>
    </row>
    <row r="371" spans="1:4" ht="26.25" customHeight="1" x14ac:dyDescent="0.4">
      <c r="A371" s="60"/>
      <c r="B371" s="12" t="s">
        <v>1433</v>
      </c>
      <c r="C371" s="12" t="s">
        <v>1434</v>
      </c>
      <c r="D371" s="13">
        <v>2400000</v>
      </c>
    </row>
    <row r="372" spans="1:4" ht="26.25" customHeight="1" x14ac:dyDescent="0.4">
      <c r="A372" s="60"/>
      <c r="B372" s="12" t="s">
        <v>1435</v>
      </c>
      <c r="C372" s="12" t="s">
        <v>1436</v>
      </c>
      <c r="D372" s="13">
        <v>2300000</v>
      </c>
    </row>
    <row r="373" spans="1:4" ht="26.25" customHeight="1" x14ac:dyDescent="0.4">
      <c r="A373" s="60"/>
      <c r="B373" s="12" t="s">
        <v>1437</v>
      </c>
      <c r="C373" s="12" t="s">
        <v>1438</v>
      </c>
      <c r="D373" s="13">
        <v>2450000</v>
      </c>
    </row>
    <row r="374" spans="1:4" ht="26.25" customHeight="1" x14ac:dyDescent="0.4">
      <c r="A374" s="60"/>
      <c r="B374" s="12" t="s">
        <v>1439</v>
      </c>
      <c r="C374" s="12" t="s">
        <v>1440</v>
      </c>
      <c r="D374" s="13">
        <v>1900000</v>
      </c>
    </row>
    <row r="375" spans="1:4" ht="26.25" customHeight="1" x14ac:dyDescent="0.4">
      <c r="A375" s="60"/>
      <c r="B375" s="12" t="s">
        <v>1441</v>
      </c>
      <c r="C375" s="12" t="s">
        <v>1442</v>
      </c>
      <c r="D375" s="13">
        <v>2200000</v>
      </c>
    </row>
    <row r="376" spans="1:4" ht="26.25" customHeight="1" x14ac:dyDescent="0.4">
      <c r="A376" s="60">
        <v>1</v>
      </c>
      <c r="B376" s="12" t="s">
        <v>1443</v>
      </c>
      <c r="C376" s="12" t="s">
        <v>1444</v>
      </c>
      <c r="D376" s="13">
        <v>2000000</v>
      </c>
    </row>
    <row r="377" spans="1:4" ht="26.25" customHeight="1" x14ac:dyDescent="0.4">
      <c r="A377" s="60">
        <v>1</v>
      </c>
      <c r="B377" s="12" t="s">
        <v>1445</v>
      </c>
      <c r="C377" s="12" t="s">
        <v>1446</v>
      </c>
      <c r="D377" s="13">
        <v>2300000</v>
      </c>
    </row>
    <row r="378" spans="1:4" ht="26.25" customHeight="1" x14ac:dyDescent="0.4">
      <c r="A378" s="60"/>
      <c r="B378" s="12" t="s">
        <v>1447</v>
      </c>
      <c r="C378" s="12" t="s">
        <v>1448</v>
      </c>
      <c r="D378" s="13">
        <v>20000</v>
      </c>
    </row>
    <row r="379" spans="1:4" ht="26.25" customHeight="1" x14ac:dyDescent="0.4">
      <c r="A379" s="60">
        <v>1</v>
      </c>
      <c r="B379" s="12" t="s">
        <v>1449</v>
      </c>
      <c r="C379" s="12" t="s">
        <v>1450</v>
      </c>
      <c r="D379" s="13">
        <v>50000</v>
      </c>
    </row>
    <row r="380" spans="1:4" ht="26.25" customHeight="1" x14ac:dyDescent="0.4">
      <c r="A380" s="60">
        <v>1</v>
      </c>
      <c r="B380" s="12" t="s">
        <v>271</v>
      </c>
      <c r="C380" s="12" t="s">
        <v>272</v>
      </c>
      <c r="D380" s="13">
        <v>30000</v>
      </c>
    </row>
    <row r="381" spans="1:4" ht="26.25" customHeight="1" x14ac:dyDescent="0.4">
      <c r="A381" s="60">
        <v>1</v>
      </c>
      <c r="B381" s="12" t="s">
        <v>269</v>
      </c>
      <c r="C381" s="12" t="s">
        <v>270</v>
      </c>
      <c r="D381" s="13">
        <v>40000</v>
      </c>
    </row>
    <row r="382" spans="1:4" ht="26.25" customHeight="1" x14ac:dyDescent="0.4">
      <c r="A382" s="60"/>
      <c r="B382" s="12" t="s">
        <v>267</v>
      </c>
      <c r="C382" s="12" t="s">
        <v>268</v>
      </c>
      <c r="D382" s="13">
        <v>80000</v>
      </c>
    </row>
    <row r="383" spans="1:4" ht="26.25" customHeight="1" x14ac:dyDescent="0.4">
      <c r="A383" s="60"/>
      <c r="B383" s="12" t="s">
        <v>265</v>
      </c>
      <c r="C383" s="12" t="s">
        <v>266</v>
      </c>
      <c r="D383" s="13">
        <v>110000</v>
      </c>
    </row>
    <row r="384" spans="1:4" ht="26.25" customHeight="1" x14ac:dyDescent="0.4">
      <c r="A384" s="60"/>
      <c r="B384" s="12" t="s">
        <v>263</v>
      </c>
      <c r="C384" s="12" t="s">
        <v>264</v>
      </c>
      <c r="D384" s="13">
        <v>240000</v>
      </c>
    </row>
    <row r="385" spans="1:4" ht="26.25" customHeight="1" x14ac:dyDescent="0.4">
      <c r="A385" s="60"/>
      <c r="B385" s="12" t="s">
        <v>23</v>
      </c>
      <c r="C385" s="12" t="s">
        <v>24</v>
      </c>
      <c r="D385" s="13">
        <v>350000</v>
      </c>
    </row>
    <row r="386" spans="1:4" ht="26.25" customHeight="1" x14ac:dyDescent="0.4">
      <c r="A386" s="60">
        <v>1</v>
      </c>
      <c r="B386" s="12" t="s">
        <v>1451</v>
      </c>
      <c r="C386" s="12" t="s">
        <v>1452</v>
      </c>
      <c r="D386" s="13">
        <v>9000000</v>
      </c>
    </row>
    <row r="387" spans="1:4" ht="26.25" customHeight="1" x14ac:dyDescent="0.4">
      <c r="A387" s="60"/>
      <c r="B387" s="12" t="s">
        <v>1453</v>
      </c>
      <c r="C387" s="12" t="s">
        <v>1454</v>
      </c>
      <c r="D387" s="13">
        <v>9000000</v>
      </c>
    </row>
    <row r="388" spans="1:4" ht="26.25" customHeight="1" x14ac:dyDescent="0.4">
      <c r="A388" s="60"/>
      <c r="B388" s="12" t="s">
        <v>1455</v>
      </c>
      <c r="C388" s="12" t="s">
        <v>1456</v>
      </c>
      <c r="D388" s="13">
        <v>9000000</v>
      </c>
    </row>
    <row r="389" spans="1:4" ht="26.25" customHeight="1" x14ac:dyDescent="0.4">
      <c r="A389" s="60">
        <v>1</v>
      </c>
      <c r="B389" s="12" t="s">
        <v>1457</v>
      </c>
      <c r="C389" s="12" t="s">
        <v>1458</v>
      </c>
      <c r="D389" s="13">
        <v>8000000</v>
      </c>
    </row>
    <row r="390" spans="1:4" ht="26.25" customHeight="1" x14ac:dyDescent="0.4">
      <c r="A390" s="60"/>
      <c r="B390" s="12" t="s">
        <v>1459</v>
      </c>
      <c r="C390" s="12" t="s">
        <v>1460</v>
      </c>
      <c r="D390" s="13">
        <v>8000000</v>
      </c>
    </row>
    <row r="391" spans="1:4" ht="26.25" customHeight="1" x14ac:dyDescent="0.4">
      <c r="A391" s="60"/>
      <c r="B391" s="12" t="s">
        <v>1461</v>
      </c>
      <c r="C391" s="12" t="s">
        <v>1462</v>
      </c>
      <c r="D391" s="13">
        <v>8000000</v>
      </c>
    </row>
    <row r="392" spans="1:4" ht="26.25" customHeight="1" x14ac:dyDescent="0.4">
      <c r="A392" s="60">
        <v>1</v>
      </c>
      <c r="B392" s="12" t="s">
        <v>1463</v>
      </c>
      <c r="C392" s="12" t="s">
        <v>1464</v>
      </c>
      <c r="D392" s="13">
        <v>9430000</v>
      </c>
    </row>
    <row r="393" spans="1:4" ht="26.25" customHeight="1" x14ac:dyDescent="0.4">
      <c r="A393" s="60"/>
      <c r="B393" s="12" t="s">
        <v>1465</v>
      </c>
      <c r="C393" s="12" t="s">
        <v>1466</v>
      </c>
      <c r="D393" s="13">
        <v>9430000</v>
      </c>
    </row>
    <row r="394" spans="1:4" ht="26.25" customHeight="1" x14ac:dyDescent="0.4">
      <c r="A394" s="60"/>
      <c r="B394" s="12" t="s">
        <v>1467</v>
      </c>
      <c r="C394" s="12" t="s">
        <v>1468</v>
      </c>
      <c r="D394" s="13">
        <v>10200000</v>
      </c>
    </row>
    <row r="395" spans="1:4" ht="26.25" customHeight="1" x14ac:dyDescent="0.4">
      <c r="A395" s="60"/>
      <c r="B395" s="12" t="s">
        <v>1469</v>
      </c>
      <c r="C395" s="12" t="s">
        <v>1470</v>
      </c>
      <c r="D395" s="13">
        <v>10200000</v>
      </c>
    </row>
    <row r="396" spans="1:4" ht="26.25" customHeight="1" x14ac:dyDescent="0.4">
      <c r="A396" s="60">
        <v>1</v>
      </c>
      <c r="B396" s="12" t="s">
        <v>1471</v>
      </c>
      <c r="C396" s="12" t="s">
        <v>1472</v>
      </c>
      <c r="D396" s="13">
        <v>8300000</v>
      </c>
    </row>
    <row r="397" spans="1:4" ht="26.25" customHeight="1" x14ac:dyDescent="0.4">
      <c r="A397" s="60"/>
      <c r="B397" s="12" t="s">
        <v>1473</v>
      </c>
      <c r="C397" s="12" t="s">
        <v>1474</v>
      </c>
      <c r="D397" s="13">
        <v>8300000</v>
      </c>
    </row>
    <row r="398" spans="1:4" ht="26.25" customHeight="1" x14ac:dyDescent="0.4">
      <c r="A398" s="60"/>
      <c r="B398" s="12" t="s">
        <v>1475</v>
      </c>
      <c r="C398" s="12" t="s">
        <v>1476</v>
      </c>
      <c r="D398" s="13">
        <v>8930000</v>
      </c>
    </row>
    <row r="399" spans="1:4" ht="26.25" customHeight="1" x14ac:dyDescent="0.4">
      <c r="A399" s="60"/>
      <c r="B399" s="12" t="s">
        <v>1477</v>
      </c>
      <c r="C399" s="12" t="s">
        <v>1478</v>
      </c>
      <c r="D399" s="13">
        <v>8930000</v>
      </c>
    </row>
    <row r="400" spans="1:4" ht="26.25" customHeight="1" x14ac:dyDescent="0.4">
      <c r="A400" s="60"/>
      <c r="B400" s="12" t="s">
        <v>1479</v>
      </c>
      <c r="C400" s="12" t="s">
        <v>1480</v>
      </c>
      <c r="D400" s="13">
        <v>14180000</v>
      </c>
    </row>
    <row r="401" spans="1:4" ht="26.25" customHeight="1" x14ac:dyDescent="0.4">
      <c r="A401" s="60"/>
      <c r="B401" s="12" t="s">
        <v>1481</v>
      </c>
      <c r="C401" s="12" t="s">
        <v>1482</v>
      </c>
      <c r="D401" s="13">
        <v>15000000</v>
      </c>
    </row>
    <row r="402" spans="1:4" ht="26.25" customHeight="1" x14ac:dyDescent="0.4">
      <c r="A402" s="60"/>
      <c r="B402" s="12" t="s">
        <v>1483</v>
      </c>
      <c r="C402" s="12" t="s">
        <v>1484</v>
      </c>
      <c r="D402" s="13">
        <v>16800000</v>
      </c>
    </row>
    <row r="403" spans="1:4" ht="26.25" customHeight="1" x14ac:dyDescent="0.4">
      <c r="A403" s="60"/>
      <c r="B403" s="12" t="s">
        <v>1485</v>
      </c>
      <c r="C403" s="12" t="s">
        <v>1486</v>
      </c>
      <c r="D403" s="13">
        <v>16800000</v>
      </c>
    </row>
    <row r="404" spans="1:4" ht="26.25" customHeight="1" x14ac:dyDescent="0.4">
      <c r="A404" s="60"/>
      <c r="B404" s="12" t="s">
        <v>1487</v>
      </c>
      <c r="C404" s="12" t="s">
        <v>1488</v>
      </c>
      <c r="D404" s="13">
        <v>17330000</v>
      </c>
    </row>
    <row r="405" spans="1:4" ht="26.25" customHeight="1" x14ac:dyDescent="0.4">
      <c r="A405" s="60"/>
      <c r="B405" s="12" t="s">
        <v>1489</v>
      </c>
      <c r="C405" s="12" t="s">
        <v>1490</v>
      </c>
      <c r="D405" s="13">
        <v>16800000</v>
      </c>
    </row>
    <row r="406" spans="1:4" ht="26.25" customHeight="1" x14ac:dyDescent="0.4">
      <c r="A406" s="60"/>
      <c r="B406" s="12" t="s">
        <v>1491</v>
      </c>
      <c r="C406" s="12" t="s">
        <v>1492</v>
      </c>
      <c r="D406" s="13">
        <v>17330000</v>
      </c>
    </row>
    <row r="407" spans="1:4" ht="26.25" customHeight="1" x14ac:dyDescent="0.4">
      <c r="A407" s="60"/>
      <c r="B407" s="12" t="s">
        <v>1493</v>
      </c>
      <c r="C407" s="12" t="s">
        <v>1494</v>
      </c>
      <c r="D407" s="13">
        <v>12600000</v>
      </c>
    </row>
    <row r="408" spans="1:4" ht="26.25" customHeight="1" x14ac:dyDescent="0.4">
      <c r="A408" s="60"/>
      <c r="B408" s="12" t="s">
        <v>1495</v>
      </c>
      <c r="C408" s="12" t="s">
        <v>1496</v>
      </c>
      <c r="D408" s="13">
        <v>15040000</v>
      </c>
    </row>
    <row r="409" spans="1:4" ht="26.25" customHeight="1" x14ac:dyDescent="0.4">
      <c r="A409" s="60"/>
      <c r="B409" s="12" t="s">
        <v>1497</v>
      </c>
      <c r="C409" s="12" t="s">
        <v>1498</v>
      </c>
      <c r="D409" s="13">
        <v>14930000</v>
      </c>
    </row>
    <row r="410" spans="1:4" ht="26.25" customHeight="1" x14ac:dyDescent="0.4">
      <c r="A410" s="60"/>
      <c r="B410" s="12" t="s">
        <v>1499</v>
      </c>
      <c r="C410" s="12" t="s">
        <v>1500</v>
      </c>
      <c r="D410" s="13">
        <v>17330000</v>
      </c>
    </row>
    <row r="411" spans="1:4" ht="26.25" customHeight="1" x14ac:dyDescent="0.4">
      <c r="A411" s="60"/>
      <c r="B411" s="12" t="s">
        <v>1501</v>
      </c>
      <c r="C411" s="12" t="s">
        <v>1502</v>
      </c>
      <c r="D411" s="13">
        <v>17850000</v>
      </c>
    </row>
    <row r="412" spans="1:4" ht="26.25" customHeight="1" x14ac:dyDescent="0.4">
      <c r="A412" s="60"/>
      <c r="B412" s="12" t="s">
        <v>1503</v>
      </c>
      <c r="C412" s="12" t="s">
        <v>1504</v>
      </c>
      <c r="D412" s="13">
        <v>18100000</v>
      </c>
    </row>
    <row r="413" spans="1:4" ht="26.25" customHeight="1" x14ac:dyDescent="0.4">
      <c r="A413" s="60"/>
      <c r="B413" s="12" t="s">
        <v>1505</v>
      </c>
      <c r="C413" s="12" t="s">
        <v>1506</v>
      </c>
      <c r="D413" s="13">
        <v>14700000</v>
      </c>
    </row>
    <row r="414" spans="1:4" ht="26.25" customHeight="1" x14ac:dyDescent="0.4">
      <c r="A414" s="60"/>
      <c r="B414" s="12" t="s">
        <v>1507</v>
      </c>
      <c r="C414" s="12" t="s">
        <v>1508</v>
      </c>
      <c r="D414" s="13">
        <v>15230000</v>
      </c>
    </row>
    <row r="415" spans="1:4" ht="26.25" customHeight="1" x14ac:dyDescent="0.4">
      <c r="A415" s="60"/>
      <c r="B415" s="12" t="s">
        <v>1509</v>
      </c>
      <c r="C415" s="12" t="s">
        <v>1510</v>
      </c>
      <c r="D415" s="13">
        <v>17850000</v>
      </c>
    </row>
    <row r="416" spans="1:4" ht="26.25" customHeight="1" x14ac:dyDescent="0.4">
      <c r="A416" s="60"/>
      <c r="B416" s="12" t="s">
        <v>1511</v>
      </c>
      <c r="C416" s="12" t="s">
        <v>1512</v>
      </c>
      <c r="D416" s="13">
        <v>17850000</v>
      </c>
    </row>
    <row r="417" spans="1:4" ht="26.25" customHeight="1" x14ac:dyDescent="0.4">
      <c r="A417" s="60"/>
      <c r="B417" s="12" t="s">
        <v>1513</v>
      </c>
      <c r="C417" s="12" t="s">
        <v>1514</v>
      </c>
      <c r="D417" s="13">
        <v>15040000</v>
      </c>
    </row>
    <row r="418" spans="1:4" ht="26.25" customHeight="1" x14ac:dyDescent="0.4">
      <c r="A418" s="60"/>
      <c r="B418" s="12" t="s">
        <v>1515</v>
      </c>
      <c r="C418" s="12" t="s">
        <v>1516</v>
      </c>
      <c r="D418" s="13">
        <v>15040000</v>
      </c>
    </row>
    <row r="419" spans="1:4" ht="26.25" customHeight="1" x14ac:dyDescent="0.4">
      <c r="A419" s="60"/>
      <c r="B419" s="12" t="s">
        <v>1517</v>
      </c>
      <c r="C419" s="12" t="s">
        <v>1518</v>
      </c>
      <c r="D419" s="13">
        <v>18100000</v>
      </c>
    </row>
    <row r="420" spans="1:4" ht="26.25" customHeight="1" x14ac:dyDescent="0.4">
      <c r="A420" s="60"/>
      <c r="B420" s="12" t="s">
        <v>1519</v>
      </c>
      <c r="C420" s="12" t="s">
        <v>1520</v>
      </c>
      <c r="D420" s="13">
        <v>18480000</v>
      </c>
    </row>
    <row r="421" spans="1:4" ht="26.25" customHeight="1" x14ac:dyDescent="0.4">
      <c r="A421" s="61"/>
      <c r="B421" s="12" t="s">
        <v>1521</v>
      </c>
      <c r="C421" s="12" t="s">
        <v>1522</v>
      </c>
      <c r="D421" s="13">
        <v>15750000</v>
      </c>
    </row>
    <row r="422" spans="1:4" ht="26.25" customHeight="1" x14ac:dyDescent="0.4">
      <c r="A422" s="2"/>
      <c r="B422" s="14" t="s">
        <v>107</v>
      </c>
      <c r="C422" s="14" t="s">
        <v>108</v>
      </c>
      <c r="D422" s="3">
        <v>220000</v>
      </c>
    </row>
    <row r="423" spans="1:4" ht="26.25" customHeight="1" x14ac:dyDescent="0.4">
      <c r="A423" s="2"/>
      <c r="B423" s="14" t="s">
        <v>109</v>
      </c>
      <c r="C423" s="14" t="s">
        <v>110</v>
      </c>
      <c r="D423" s="3">
        <v>217000</v>
      </c>
    </row>
    <row r="424" spans="1:4" ht="26.25" customHeight="1" x14ac:dyDescent="0.4">
      <c r="A424" s="2"/>
      <c r="B424" s="14" t="s">
        <v>111</v>
      </c>
      <c r="C424" s="14" t="s">
        <v>112</v>
      </c>
      <c r="D424" s="3">
        <v>249000</v>
      </c>
    </row>
    <row r="425" spans="1:4" ht="26.25" customHeight="1" x14ac:dyDescent="0.4">
      <c r="A425" s="2"/>
      <c r="B425" s="14" t="s">
        <v>113</v>
      </c>
      <c r="C425" s="14" t="s">
        <v>114</v>
      </c>
      <c r="D425" s="3">
        <v>243000</v>
      </c>
    </row>
    <row r="426" spans="1:4" ht="26.25" customHeight="1" x14ac:dyDescent="0.4">
      <c r="A426" s="2"/>
      <c r="B426" s="14" t="s">
        <v>115</v>
      </c>
      <c r="C426" s="14" t="s">
        <v>116</v>
      </c>
      <c r="D426" s="3">
        <v>204000</v>
      </c>
    </row>
    <row r="427" spans="1:4" ht="26.25" customHeight="1" x14ac:dyDescent="0.4">
      <c r="A427" s="2"/>
      <c r="B427" s="14" t="s">
        <v>117</v>
      </c>
      <c r="C427" s="14" t="s">
        <v>118</v>
      </c>
      <c r="D427" s="3">
        <v>198000</v>
      </c>
    </row>
    <row r="428" spans="1:4" ht="26.25" customHeight="1" x14ac:dyDescent="0.4">
      <c r="A428" s="2"/>
      <c r="B428" s="15" t="s">
        <v>2</v>
      </c>
      <c r="C428" s="16" t="s">
        <v>3</v>
      </c>
      <c r="D428" s="3">
        <v>887000</v>
      </c>
    </row>
    <row r="429" spans="1:4" ht="26.25" customHeight="1" x14ac:dyDescent="0.4">
      <c r="A429" s="2"/>
      <c r="B429" s="16" t="s">
        <v>4</v>
      </c>
      <c r="C429" s="16" t="s">
        <v>5</v>
      </c>
      <c r="D429" s="3">
        <v>1109000</v>
      </c>
    </row>
    <row r="430" spans="1:4" ht="26.25" customHeight="1" x14ac:dyDescent="0.4">
      <c r="A430" s="2"/>
      <c r="B430" s="15" t="s">
        <v>6</v>
      </c>
      <c r="C430" s="14" t="s">
        <v>7</v>
      </c>
      <c r="D430" s="3">
        <v>158000</v>
      </c>
    </row>
    <row r="431" spans="1:4" ht="26.25" customHeight="1" x14ac:dyDescent="0.4">
      <c r="A431" s="2"/>
      <c r="B431" s="15" t="s">
        <v>8</v>
      </c>
      <c r="C431" s="2" t="s">
        <v>9</v>
      </c>
      <c r="D431" s="3">
        <v>265000</v>
      </c>
    </row>
    <row r="432" spans="1:4" ht="26.25" customHeight="1" x14ac:dyDescent="0.4">
      <c r="A432" s="2"/>
      <c r="B432" s="16" t="s">
        <v>10</v>
      </c>
      <c r="C432" s="16" t="s">
        <v>11</v>
      </c>
      <c r="D432" s="3">
        <v>498000</v>
      </c>
    </row>
    <row r="433" spans="1:4" ht="26.25" customHeight="1" x14ac:dyDescent="0.4">
      <c r="A433" s="2"/>
      <c r="B433" s="17" t="s">
        <v>119</v>
      </c>
      <c r="C433" s="2" t="s">
        <v>120</v>
      </c>
      <c r="D433" s="3">
        <v>3639000</v>
      </c>
    </row>
    <row r="434" spans="1:4" ht="26.25" customHeight="1" x14ac:dyDescent="0.4">
      <c r="A434" s="2"/>
      <c r="B434" s="17" t="s">
        <v>12</v>
      </c>
      <c r="C434" s="2" t="s">
        <v>13</v>
      </c>
      <c r="D434" s="3">
        <v>1764000</v>
      </c>
    </row>
    <row r="435" spans="1:4" ht="26.25" customHeight="1" x14ac:dyDescent="0.4">
      <c r="A435" s="2"/>
      <c r="B435" s="17" t="s">
        <v>928</v>
      </c>
      <c r="C435" s="2" t="s">
        <v>14</v>
      </c>
      <c r="D435" s="3">
        <v>629000</v>
      </c>
    </row>
    <row r="436" spans="1:4" ht="26.25" customHeight="1" x14ac:dyDescent="0.4">
      <c r="A436" s="2"/>
      <c r="B436" s="16" t="s">
        <v>121</v>
      </c>
      <c r="C436" s="16" t="s">
        <v>122</v>
      </c>
      <c r="D436" s="3">
        <v>1100000</v>
      </c>
    </row>
    <row r="437" spans="1:4" ht="26.25" customHeight="1" x14ac:dyDescent="0.4">
      <c r="A437" s="2"/>
      <c r="B437" s="15" t="s">
        <v>123</v>
      </c>
      <c r="C437" s="14" t="s">
        <v>124</v>
      </c>
      <c r="D437" s="3">
        <v>838000</v>
      </c>
    </row>
    <row r="438" spans="1:4" ht="26.25" customHeight="1" x14ac:dyDescent="0.4">
      <c r="A438" s="2"/>
      <c r="B438" s="15" t="s">
        <v>125</v>
      </c>
      <c r="C438" s="2" t="s">
        <v>126</v>
      </c>
      <c r="D438" s="3">
        <v>662000</v>
      </c>
    </row>
    <row r="439" spans="1:4" ht="26.25" customHeight="1" x14ac:dyDescent="0.4">
      <c r="A439" s="2"/>
      <c r="B439" s="15" t="s">
        <v>127</v>
      </c>
      <c r="C439" s="2" t="s">
        <v>128</v>
      </c>
      <c r="D439" s="3">
        <v>558000</v>
      </c>
    </row>
    <row r="440" spans="1:4" ht="26.25" customHeight="1" x14ac:dyDescent="0.4">
      <c r="A440" s="2"/>
      <c r="B440" s="15" t="s">
        <v>129</v>
      </c>
      <c r="C440" s="2" t="s">
        <v>130</v>
      </c>
      <c r="D440" s="3">
        <v>188000</v>
      </c>
    </row>
    <row r="441" spans="1:4" ht="26.25" customHeight="1" x14ac:dyDescent="0.4">
      <c r="A441" s="2"/>
      <c r="B441" s="18" t="s">
        <v>131</v>
      </c>
      <c r="C441" s="2" t="s">
        <v>132</v>
      </c>
      <c r="D441" s="3">
        <v>9500</v>
      </c>
    </row>
    <row r="442" spans="1:4" ht="26.25" customHeight="1" x14ac:dyDescent="0.4">
      <c r="A442" s="2"/>
      <c r="B442" s="17" t="s">
        <v>133</v>
      </c>
      <c r="C442" s="2" t="s">
        <v>134</v>
      </c>
      <c r="D442" s="3">
        <v>552000</v>
      </c>
    </row>
    <row r="443" spans="1:4" ht="26.25" customHeight="1" x14ac:dyDescent="0.4">
      <c r="A443" s="2"/>
      <c r="B443" s="15" t="s">
        <v>135</v>
      </c>
      <c r="C443" s="2" t="s">
        <v>136</v>
      </c>
      <c r="D443" s="3">
        <v>121000</v>
      </c>
    </row>
    <row r="444" spans="1:4" ht="26.25" customHeight="1" x14ac:dyDescent="0.4">
      <c r="A444" s="2"/>
      <c r="B444" s="15" t="s">
        <v>137</v>
      </c>
      <c r="C444" s="2" t="s">
        <v>138</v>
      </c>
      <c r="D444" s="3">
        <v>666000</v>
      </c>
    </row>
    <row r="445" spans="1:4" ht="26.25" customHeight="1" x14ac:dyDescent="0.4">
      <c r="A445" s="2"/>
      <c r="B445" s="17" t="s">
        <v>139</v>
      </c>
      <c r="C445" s="2" t="s">
        <v>140</v>
      </c>
      <c r="D445" s="3">
        <v>166000</v>
      </c>
    </row>
    <row r="446" spans="1:4" ht="26.25" customHeight="1" x14ac:dyDescent="0.4">
      <c r="A446" s="2"/>
      <c r="B446" s="17" t="s">
        <v>141</v>
      </c>
      <c r="C446" s="2" t="s">
        <v>142</v>
      </c>
      <c r="D446" s="3">
        <v>139000</v>
      </c>
    </row>
    <row r="447" spans="1:4" ht="26.25" customHeight="1" x14ac:dyDescent="0.4">
      <c r="A447" s="2"/>
      <c r="B447" s="17" t="s">
        <v>143</v>
      </c>
      <c r="C447" s="2" t="s">
        <v>144</v>
      </c>
      <c r="D447" s="3">
        <v>166000</v>
      </c>
    </row>
    <row r="448" spans="1:4" ht="26.25" customHeight="1" x14ac:dyDescent="0.4">
      <c r="A448" s="2"/>
      <c r="B448" s="16" t="s">
        <v>145</v>
      </c>
      <c r="C448" s="16" t="s">
        <v>146</v>
      </c>
      <c r="D448" s="3">
        <v>298000</v>
      </c>
    </row>
    <row r="449" spans="1:4" ht="26.25" customHeight="1" x14ac:dyDescent="0.4">
      <c r="A449" s="2"/>
      <c r="B449" s="16" t="s">
        <v>147</v>
      </c>
      <c r="C449" s="16" t="s">
        <v>148</v>
      </c>
      <c r="D449" s="3">
        <v>728000</v>
      </c>
    </row>
    <row r="450" spans="1:4" ht="26.25" customHeight="1" x14ac:dyDescent="0.4">
      <c r="A450" s="2"/>
      <c r="B450" s="15" t="s">
        <v>149</v>
      </c>
      <c r="C450" s="32" t="s">
        <v>150</v>
      </c>
      <c r="D450" s="3">
        <v>10600000</v>
      </c>
    </row>
    <row r="451" spans="1:4" ht="26.25" customHeight="1" x14ac:dyDescent="0.4">
      <c r="A451" s="2"/>
      <c r="B451" s="16" t="s">
        <v>151</v>
      </c>
      <c r="C451" s="16" t="s">
        <v>152</v>
      </c>
      <c r="D451" s="3">
        <v>9835000</v>
      </c>
    </row>
    <row r="452" spans="1:4" ht="26.25" customHeight="1" x14ac:dyDescent="0.4">
      <c r="A452" s="2"/>
      <c r="B452" s="16" t="s">
        <v>153</v>
      </c>
      <c r="C452" s="16" t="s">
        <v>154</v>
      </c>
      <c r="D452" s="3">
        <v>6071000</v>
      </c>
    </row>
    <row r="453" spans="1:4" ht="26.25" customHeight="1" x14ac:dyDescent="0.4">
      <c r="A453" s="2"/>
      <c r="B453" s="16" t="s">
        <v>155</v>
      </c>
      <c r="C453" s="32" t="s">
        <v>156</v>
      </c>
      <c r="D453" s="3">
        <v>709000</v>
      </c>
    </row>
    <row r="454" spans="1:4" ht="26.25" customHeight="1" x14ac:dyDescent="0.4">
      <c r="A454" s="2"/>
      <c r="B454" s="16" t="s">
        <v>157</v>
      </c>
      <c r="C454" s="32" t="s">
        <v>158</v>
      </c>
      <c r="D454" s="3">
        <v>762000</v>
      </c>
    </row>
    <row r="455" spans="1:4" ht="26.25" customHeight="1" x14ac:dyDescent="0.4">
      <c r="A455" s="2"/>
      <c r="B455" s="19" t="s">
        <v>159</v>
      </c>
      <c r="C455" s="2" t="s">
        <v>160</v>
      </c>
      <c r="D455" s="3">
        <v>243000</v>
      </c>
    </row>
    <row r="456" spans="1:4" ht="26.25" customHeight="1" x14ac:dyDescent="0.4">
      <c r="A456" s="2"/>
      <c r="B456" s="19" t="s">
        <v>161</v>
      </c>
      <c r="C456" s="2" t="s">
        <v>162</v>
      </c>
      <c r="D456" s="3">
        <v>51000</v>
      </c>
    </row>
    <row r="457" spans="1:4" ht="26.25" customHeight="1" x14ac:dyDescent="0.4">
      <c r="A457" s="2"/>
      <c r="B457" s="15" t="s">
        <v>15</v>
      </c>
      <c r="C457" s="16" t="s">
        <v>16</v>
      </c>
      <c r="D457" s="3">
        <v>140000</v>
      </c>
    </row>
    <row r="458" spans="1:4" ht="26.25" customHeight="1" x14ac:dyDescent="0.4">
      <c r="A458" s="2"/>
      <c r="B458" s="29" t="s">
        <v>163</v>
      </c>
      <c r="C458" s="29" t="s">
        <v>164</v>
      </c>
      <c r="D458" s="3">
        <v>143000</v>
      </c>
    </row>
    <row r="459" spans="1:4" ht="26.25" customHeight="1" x14ac:dyDescent="0.4">
      <c r="A459" s="2"/>
      <c r="B459" s="15" t="s">
        <v>165</v>
      </c>
      <c r="C459" s="16" t="s">
        <v>166</v>
      </c>
      <c r="D459" s="3">
        <v>2041000</v>
      </c>
    </row>
    <row r="460" spans="1:4" ht="26.25" customHeight="1" x14ac:dyDescent="0.4">
      <c r="A460" s="2">
        <v>1</v>
      </c>
      <c r="B460" s="15" t="s">
        <v>167</v>
      </c>
      <c r="C460" s="16" t="s">
        <v>168</v>
      </c>
      <c r="D460" s="3">
        <v>330000</v>
      </c>
    </row>
    <row r="461" spans="1:4" ht="26.25" customHeight="1" x14ac:dyDescent="0.4">
      <c r="A461" s="2"/>
      <c r="B461" s="15" t="s">
        <v>169</v>
      </c>
      <c r="C461" s="2" t="s">
        <v>170</v>
      </c>
      <c r="D461" s="3">
        <v>827000</v>
      </c>
    </row>
    <row r="462" spans="1:4" ht="26.25" customHeight="1" x14ac:dyDescent="0.4">
      <c r="A462" s="2">
        <v>1</v>
      </c>
      <c r="B462" s="17" t="s">
        <v>171</v>
      </c>
      <c r="C462" s="33" t="s">
        <v>172</v>
      </c>
      <c r="D462" s="3">
        <v>409000</v>
      </c>
    </row>
    <row r="463" spans="1:4" ht="26.25" customHeight="1" x14ac:dyDescent="0.4">
      <c r="A463" s="2"/>
      <c r="B463" s="17" t="s">
        <v>173</v>
      </c>
      <c r="C463" s="33" t="s">
        <v>174</v>
      </c>
      <c r="D463" s="3">
        <v>1213000</v>
      </c>
    </row>
    <row r="464" spans="1:4" ht="26.25" customHeight="1" x14ac:dyDescent="0.4">
      <c r="A464" s="2"/>
      <c r="B464" s="15" t="s">
        <v>175</v>
      </c>
      <c r="C464" s="14" t="s">
        <v>176</v>
      </c>
      <c r="D464" s="3">
        <v>281000</v>
      </c>
    </row>
    <row r="465" spans="1:4" ht="26.25" customHeight="1" x14ac:dyDescent="0.4">
      <c r="A465" s="2"/>
      <c r="B465" s="29" t="s">
        <v>177</v>
      </c>
      <c r="C465" s="29" t="s">
        <v>178</v>
      </c>
      <c r="D465" s="3">
        <v>173000</v>
      </c>
    </row>
    <row r="466" spans="1:4" ht="26.25" customHeight="1" x14ac:dyDescent="0.4">
      <c r="A466" s="2"/>
      <c r="B466" s="29" t="s">
        <v>1786</v>
      </c>
      <c r="C466" s="29" t="s">
        <v>1787</v>
      </c>
      <c r="D466" s="3">
        <v>368000</v>
      </c>
    </row>
    <row r="467" spans="1:4" ht="26.25" customHeight="1" x14ac:dyDescent="0.4">
      <c r="A467" s="2"/>
      <c r="B467" s="29" t="s">
        <v>1796</v>
      </c>
      <c r="C467" s="29" t="s">
        <v>179</v>
      </c>
      <c r="D467" s="3">
        <v>193000</v>
      </c>
    </row>
    <row r="468" spans="1:4" ht="26.25" customHeight="1" x14ac:dyDescent="0.4">
      <c r="A468" s="2">
        <v>1</v>
      </c>
      <c r="B468" s="29" t="s">
        <v>180</v>
      </c>
      <c r="C468" s="29" t="s">
        <v>181</v>
      </c>
      <c r="D468" s="3">
        <v>172000</v>
      </c>
    </row>
    <row r="469" spans="1:4" ht="26.25" customHeight="1" x14ac:dyDescent="0.4">
      <c r="A469" s="2"/>
      <c r="B469" s="29" t="s">
        <v>17</v>
      </c>
      <c r="C469" s="29" t="s">
        <v>1795</v>
      </c>
      <c r="D469" s="3">
        <v>45000</v>
      </c>
    </row>
    <row r="470" spans="1:4" ht="26.25" customHeight="1" x14ac:dyDescent="0.4">
      <c r="A470" s="2"/>
      <c r="B470" s="29" t="s">
        <v>182</v>
      </c>
      <c r="C470" s="29" t="s">
        <v>183</v>
      </c>
      <c r="D470" s="3">
        <v>764000</v>
      </c>
    </row>
    <row r="471" spans="1:4" ht="26.25" customHeight="1" x14ac:dyDescent="0.4">
      <c r="A471" s="2"/>
      <c r="B471" s="29" t="s">
        <v>1764</v>
      </c>
      <c r="C471" s="29" t="s">
        <v>1765</v>
      </c>
      <c r="D471" s="3">
        <v>120000</v>
      </c>
    </row>
    <row r="472" spans="1:4" ht="26.25" customHeight="1" x14ac:dyDescent="0.4">
      <c r="A472" s="2">
        <v>1</v>
      </c>
      <c r="B472" s="29" t="s">
        <v>1760</v>
      </c>
      <c r="C472" s="29" t="s">
        <v>1761</v>
      </c>
      <c r="D472" s="3">
        <v>35000</v>
      </c>
    </row>
    <row r="473" spans="1:4" ht="26.25" customHeight="1" x14ac:dyDescent="0.4">
      <c r="A473" s="2">
        <v>1</v>
      </c>
      <c r="B473" s="29" t="s">
        <v>1768</v>
      </c>
      <c r="C473" s="29" t="s">
        <v>1769</v>
      </c>
      <c r="D473" s="3">
        <v>119000</v>
      </c>
    </row>
    <row r="474" spans="1:4" ht="26.25" customHeight="1" x14ac:dyDescent="0.4">
      <c r="A474" s="2">
        <v>1</v>
      </c>
      <c r="B474" s="29" t="s">
        <v>1762</v>
      </c>
      <c r="C474" s="29" t="s">
        <v>1763</v>
      </c>
      <c r="D474" s="3">
        <v>35000</v>
      </c>
    </row>
    <row r="475" spans="1:4" ht="26.25" customHeight="1" x14ac:dyDescent="0.4">
      <c r="A475" s="2">
        <v>1</v>
      </c>
      <c r="B475" s="29" t="s">
        <v>1770</v>
      </c>
      <c r="C475" s="29" t="s">
        <v>1771</v>
      </c>
      <c r="D475" s="3">
        <v>119000</v>
      </c>
    </row>
    <row r="476" spans="1:4" ht="26.25" customHeight="1" x14ac:dyDescent="0.4">
      <c r="A476" s="2"/>
      <c r="B476" s="29" t="s">
        <v>184</v>
      </c>
      <c r="C476" s="29" t="s">
        <v>185</v>
      </c>
      <c r="D476" s="3">
        <v>35000</v>
      </c>
    </row>
    <row r="477" spans="1:4" ht="26.25" customHeight="1" x14ac:dyDescent="0.4">
      <c r="A477" s="2">
        <v>1</v>
      </c>
      <c r="B477" s="29" t="s">
        <v>1772</v>
      </c>
      <c r="C477" s="29" t="s">
        <v>186</v>
      </c>
      <c r="D477" s="3">
        <v>119000</v>
      </c>
    </row>
    <row r="478" spans="1:4" ht="26.25" customHeight="1" x14ac:dyDescent="0.4">
      <c r="A478" s="2"/>
      <c r="B478" s="29" t="s">
        <v>1766</v>
      </c>
      <c r="C478" s="29" t="s">
        <v>1767</v>
      </c>
      <c r="D478" s="3">
        <v>239000</v>
      </c>
    </row>
    <row r="479" spans="1:4" ht="26.25" customHeight="1" x14ac:dyDescent="0.4">
      <c r="A479" s="2">
        <v>1</v>
      </c>
      <c r="B479" s="29" t="s">
        <v>1799</v>
      </c>
      <c r="C479" s="29" t="s">
        <v>1800</v>
      </c>
      <c r="D479" s="3">
        <v>135000</v>
      </c>
    </row>
    <row r="480" spans="1:4" ht="26.25" customHeight="1" x14ac:dyDescent="0.4">
      <c r="A480" s="2"/>
      <c r="B480" s="29" t="s">
        <v>1801</v>
      </c>
      <c r="C480" s="29" t="s">
        <v>1802</v>
      </c>
      <c r="D480" s="3">
        <v>439000</v>
      </c>
    </row>
    <row r="481" spans="1:4" ht="26.25" customHeight="1" x14ac:dyDescent="0.4">
      <c r="A481" s="2"/>
      <c r="B481" s="17" t="s">
        <v>187</v>
      </c>
      <c r="C481" s="2" t="s">
        <v>188</v>
      </c>
      <c r="D481" s="3">
        <v>586000</v>
      </c>
    </row>
    <row r="482" spans="1:4" ht="26.25" customHeight="1" x14ac:dyDescent="0.4">
      <c r="A482" s="2"/>
      <c r="B482" s="15" t="s">
        <v>189</v>
      </c>
      <c r="C482" s="16" t="s">
        <v>190</v>
      </c>
      <c r="D482" s="3">
        <v>441000</v>
      </c>
    </row>
    <row r="483" spans="1:4" ht="26.25" customHeight="1" x14ac:dyDescent="0.4">
      <c r="A483" s="2"/>
      <c r="B483" s="15" t="s">
        <v>191</v>
      </c>
      <c r="C483" s="16" t="s">
        <v>192</v>
      </c>
      <c r="D483" s="3">
        <v>277000</v>
      </c>
    </row>
    <row r="484" spans="1:4" ht="26.25" customHeight="1" x14ac:dyDescent="0.4">
      <c r="A484" s="2"/>
      <c r="B484" s="15" t="s">
        <v>193</v>
      </c>
      <c r="C484" s="16" t="s">
        <v>194</v>
      </c>
      <c r="D484" s="3">
        <v>299000</v>
      </c>
    </row>
    <row r="485" spans="1:4" ht="26.25" customHeight="1" x14ac:dyDescent="0.4">
      <c r="A485" s="2"/>
      <c r="B485" s="15" t="s">
        <v>195</v>
      </c>
      <c r="C485" s="16" t="s">
        <v>196</v>
      </c>
      <c r="D485" s="3">
        <v>166000</v>
      </c>
    </row>
    <row r="486" spans="1:4" ht="26.25" customHeight="1" x14ac:dyDescent="0.4">
      <c r="A486" s="2"/>
      <c r="B486" s="15" t="s">
        <v>197</v>
      </c>
      <c r="C486" s="2" t="s">
        <v>198</v>
      </c>
      <c r="D486" s="3">
        <v>56000</v>
      </c>
    </row>
    <row r="487" spans="1:4" ht="26.25" customHeight="1" x14ac:dyDescent="0.4">
      <c r="A487" s="2"/>
      <c r="B487" s="15" t="s">
        <v>199</v>
      </c>
      <c r="C487" s="2" t="s">
        <v>200</v>
      </c>
      <c r="D487" s="3">
        <v>29000</v>
      </c>
    </row>
    <row r="488" spans="1:4" ht="26.25" customHeight="1" x14ac:dyDescent="0.4">
      <c r="A488" s="2"/>
      <c r="B488" s="12">
        <v>212211063</v>
      </c>
      <c r="C488" s="16" t="s">
        <v>201</v>
      </c>
      <c r="D488" s="3">
        <v>3200</v>
      </c>
    </row>
    <row r="489" spans="1:4" ht="26.25" customHeight="1" x14ac:dyDescent="0.4">
      <c r="A489" s="2"/>
      <c r="B489" s="12" t="s">
        <v>202</v>
      </c>
      <c r="C489" s="16" t="s">
        <v>203</v>
      </c>
      <c r="D489" s="3">
        <v>135000</v>
      </c>
    </row>
    <row r="490" spans="1:4" ht="26.25" customHeight="1" x14ac:dyDescent="0.4">
      <c r="A490" s="2"/>
      <c r="B490" s="20" t="s">
        <v>204</v>
      </c>
      <c r="C490" s="16" t="s">
        <v>205</v>
      </c>
      <c r="D490" s="3">
        <v>48000</v>
      </c>
    </row>
    <row r="491" spans="1:4" ht="26.25" customHeight="1" x14ac:dyDescent="0.4">
      <c r="A491" s="2"/>
      <c r="B491" s="15" t="s">
        <v>206</v>
      </c>
      <c r="C491" s="14" t="s">
        <v>207</v>
      </c>
      <c r="D491" s="3">
        <v>6300</v>
      </c>
    </row>
    <row r="492" spans="1:4" ht="26.25" customHeight="1" x14ac:dyDescent="0.4">
      <c r="A492" s="2"/>
      <c r="B492" s="29" t="s">
        <v>1773</v>
      </c>
      <c r="C492" s="29" t="s">
        <v>1774</v>
      </c>
      <c r="D492" s="3">
        <v>2955000</v>
      </c>
    </row>
    <row r="493" spans="1:4" ht="26.25" customHeight="1" x14ac:dyDescent="0.4">
      <c r="A493" s="2"/>
      <c r="B493" s="29" t="s">
        <v>208</v>
      </c>
      <c r="C493" s="29" t="s">
        <v>209</v>
      </c>
      <c r="D493" s="3">
        <v>730000</v>
      </c>
    </row>
    <row r="494" spans="1:4" ht="26.25" customHeight="1" x14ac:dyDescent="0.4">
      <c r="A494" s="2"/>
      <c r="B494" s="15" t="s">
        <v>210</v>
      </c>
      <c r="C494" s="16" t="s">
        <v>211</v>
      </c>
      <c r="D494" s="3">
        <v>45000</v>
      </c>
    </row>
    <row r="495" spans="1:4" ht="26.25" customHeight="1" x14ac:dyDescent="0.4">
      <c r="A495" s="2"/>
      <c r="B495" s="15" t="s">
        <v>212</v>
      </c>
      <c r="C495" s="16" t="s">
        <v>213</v>
      </c>
      <c r="D495" s="3">
        <v>81000</v>
      </c>
    </row>
    <row r="496" spans="1:4" ht="26.25" customHeight="1" x14ac:dyDescent="0.4">
      <c r="A496" s="2"/>
      <c r="B496" s="29" t="s">
        <v>1793</v>
      </c>
      <c r="C496" s="29" t="s">
        <v>1794</v>
      </c>
      <c r="D496" s="3">
        <v>482000</v>
      </c>
    </row>
    <row r="497" spans="1:4" ht="26.25" customHeight="1" x14ac:dyDescent="0.4">
      <c r="A497" s="2"/>
      <c r="B497" s="29" t="s">
        <v>1791</v>
      </c>
      <c r="C497" s="29" t="s">
        <v>1792</v>
      </c>
      <c r="D497" s="3">
        <v>325000</v>
      </c>
    </row>
    <row r="498" spans="1:4" ht="26.25" customHeight="1" x14ac:dyDescent="0.4">
      <c r="A498" s="2"/>
      <c r="B498" s="29" t="s">
        <v>1783</v>
      </c>
      <c r="C498" s="29" t="s">
        <v>1784</v>
      </c>
      <c r="D498" s="3">
        <v>178000</v>
      </c>
    </row>
    <row r="499" spans="1:4" ht="26.25" customHeight="1" x14ac:dyDescent="0.4">
      <c r="A499" s="2"/>
      <c r="B499" s="29" t="s">
        <v>1797</v>
      </c>
      <c r="C499" s="29" t="s">
        <v>1798</v>
      </c>
      <c r="D499" s="3">
        <v>273000</v>
      </c>
    </row>
    <row r="500" spans="1:4" ht="26.25" customHeight="1" x14ac:dyDescent="0.4">
      <c r="A500" s="2"/>
      <c r="B500" s="29" t="s">
        <v>214</v>
      </c>
      <c r="C500" s="29" t="s">
        <v>1779</v>
      </c>
      <c r="D500" s="3">
        <v>297000</v>
      </c>
    </row>
    <row r="501" spans="1:4" ht="26.25" customHeight="1" x14ac:dyDescent="0.4">
      <c r="A501" s="2"/>
      <c r="B501" s="29" t="s">
        <v>215</v>
      </c>
      <c r="C501" s="29" t="s">
        <v>216</v>
      </c>
      <c r="D501" s="3">
        <v>359000</v>
      </c>
    </row>
    <row r="502" spans="1:4" ht="26.25" customHeight="1" x14ac:dyDescent="0.4">
      <c r="A502" s="2"/>
      <c r="B502" s="29" t="s">
        <v>1788</v>
      </c>
      <c r="C502" s="29" t="s">
        <v>217</v>
      </c>
      <c r="D502" s="3">
        <v>357000</v>
      </c>
    </row>
    <row r="503" spans="1:4" ht="26.25" customHeight="1" x14ac:dyDescent="0.4">
      <c r="A503" s="2"/>
      <c r="B503" s="29" t="s">
        <v>1780</v>
      </c>
      <c r="C503" s="29" t="s">
        <v>1781</v>
      </c>
      <c r="D503" s="3">
        <v>432000</v>
      </c>
    </row>
    <row r="504" spans="1:4" ht="26.25" customHeight="1" x14ac:dyDescent="0.4">
      <c r="A504" s="2"/>
      <c r="B504" s="29" t="s">
        <v>1785</v>
      </c>
      <c r="C504" s="29" t="s">
        <v>218</v>
      </c>
      <c r="D504" s="3">
        <v>423000</v>
      </c>
    </row>
    <row r="505" spans="1:4" ht="26.25" customHeight="1" x14ac:dyDescent="0.4">
      <c r="A505" s="2"/>
      <c r="B505" s="29" t="s">
        <v>1782</v>
      </c>
      <c r="C505" s="29" t="s">
        <v>18</v>
      </c>
      <c r="D505" s="3">
        <v>378000</v>
      </c>
    </row>
    <row r="506" spans="1:4" ht="26.25" customHeight="1" x14ac:dyDescent="0.4">
      <c r="A506" s="2"/>
      <c r="B506" s="21" t="s">
        <v>219</v>
      </c>
      <c r="C506" s="16" t="s">
        <v>220</v>
      </c>
      <c r="D506" s="3">
        <v>53000</v>
      </c>
    </row>
    <row r="507" spans="1:4" ht="26.25" customHeight="1" x14ac:dyDescent="0.4">
      <c r="A507" s="2"/>
      <c r="B507" s="21" t="s">
        <v>221</v>
      </c>
      <c r="C507" s="16" t="s">
        <v>222</v>
      </c>
      <c r="D507" s="3">
        <v>39000</v>
      </c>
    </row>
    <row r="508" spans="1:4" ht="26.25" customHeight="1" x14ac:dyDescent="0.4">
      <c r="A508" s="2"/>
      <c r="B508" s="21" t="s">
        <v>223</v>
      </c>
      <c r="C508" s="16" t="s">
        <v>224</v>
      </c>
      <c r="D508" s="3">
        <v>34000</v>
      </c>
    </row>
    <row r="509" spans="1:4" ht="26.25" customHeight="1" x14ac:dyDescent="0.4">
      <c r="A509" s="2"/>
      <c r="B509" s="21" t="s">
        <v>225</v>
      </c>
      <c r="C509" s="16" t="s">
        <v>226</v>
      </c>
      <c r="D509" s="3">
        <v>29000</v>
      </c>
    </row>
    <row r="510" spans="1:4" ht="26.25" customHeight="1" x14ac:dyDescent="0.4">
      <c r="A510" s="2"/>
      <c r="B510" s="17" t="s">
        <v>227</v>
      </c>
      <c r="C510" s="2" t="s">
        <v>228</v>
      </c>
      <c r="D510" s="3">
        <v>12000</v>
      </c>
    </row>
    <row r="511" spans="1:4" ht="26.25" customHeight="1" x14ac:dyDescent="0.4">
      <c r="A511" s="2"/>
      <c r="B511" s="17" t="s">
        <v>229</v>
      </c>
      <c r="C511" s="2" t="s">
        <v>230</v>
      </c>
      <c r="D511" s="3">
        <v>6300</v>
      </c>
    </row>
    <row r="512" spans="1:4" ht="26.25" customHeight="1" x14ac:dyDescent="0.4">
      <c r="A512" s="2"/>
      <c r="B512" s="16" t="s">
        <v>231</v>
      </c>
      <c r="C512" s="16" t="s">
        <v>232</v>
      </c>
      <c r="D512" s="3">
        <v>2100</v>
      </c>
    </row>
    <row r="513" spans="1:4" ht="26.25" customHeight="1" x14ac:dyDescent="0.4">
      <c r="A513" s="2"/>
      <c r="B513" s="15" t="s">
        <v>233</v>
      </c>
      <c r="C513" s="24" t="s">
        <v>234</v>
      </c>
      <c r="D513" s="3">
        <v>2100</v>
      </c>
    </row>
    <row r="514" spans="1:4" ht="26.25" customHeight="1" x14ac:dyDescent="0.4">
      <c r="A514" s="2"/>
      <c r="B514" s="22" t="s">
        <v>235</v>
      </c>
      <c r="C514" s="2" t="s">
        <v>236</v>
      </c>
      <c r="D514" s="3">
        <v>34000</v>
      </c>
    </row>
    <row r="515" spans="1:4" ht="26.25" customHeight="1" x14ac:dyDescent="0.4">
      <c r="A515" s="2"/>
      <c r="B515" s="22" t="s">
        <v>237</v>
      </c>
      <c r="C515" s="2" t="s">
        <v>238</v>
      </c>
      <c r="D515" s="3">
        <v>21000</v>
      </c>
    </row>
    <row r="516" spans="1:4" ht="26.25" customHeight="1" x14ac:dyDescent="0.4">
      <c r="A516" s="2"/>
      <c r="B516" s="22" t="s">
        <v>239</v>
      </c>
      <c r="C516" s="2" t="s">
        <v>240</v>
      </c>
      <c r="D516" s="3">
        <v>22000</v>
      </c>
    </row>
    <row r="517" spans="1:4" ht="26.25" customHeight="1" x14ac:dyDescent="0.4">
      <c r="A517" s="2"/>
      <c r="B517" s="22" t="s">
        <v>241</v>
      </c>
      <c r="C517" s="2" t="s">
        <v>242</v>
      </c>
      <c r="D517" s="3">
        <v>17000</v>
      </c>
    </row>
    <row r="518" spans="1:4" ht="26.25" customHeight="1" x14ac:dyDescent="0.4">
      <c r="A518" s="2"/>
      <c r="B518" s="15" t="s">
        <v>243</v>
      </c>
      <c r="C518" s="14" t="s">
        <v>244</v>
      </c>
      <c r="D518" s="3">
        <v>3200</v>
      </c>
    </row>
    <row r="519" spans="1:4" ht="26.25" customHeight="1" x14ac:dyDescent="0.4">
      <c r="A519" s="2"/>
      <c r="B519" s="15" t="s">
        <v>245</v>
      </c>
      <c r="C519" s="14" t="s">
        <v>246</v>
      </c>
      <c r="D519" s="3">
        <v>2100</v>
      </c>
    </row>
    <row r="520" spans="1:4" ht="26.25" customHeight="1" x14ac:dyDescent="0.4">
      <c r="A520" s="2"/>
      <c r="B520" s="23" t="s">
        <v>19</v>
      </c>
      <c r="C520" s="23" t="s">
        <v>20</v>
      </c>
      <c r="D520" s="3">
        <v>3548000</v>
      </c>
    </row>
    <row r="521" spans="1:4" ht="26.25" customHeight="1" x14ac:dyDescent="0.4">
      <c r="A521" s="2"/>
      <c r="B521" s="17" t="s">
        <v>247</v>
      </c>
      <c r="C521" s="2" t="s">
        <v>248</v>
      </c>
      <c r="D521" s="3">
        <v>2001000</v>
      </c>
    </row>
    <row r="522" spans="1:4" ht="26.25" customHeight="1" x14ac:dyDescent="0.4">
      <c r="A522" s="2"/>
      <c r="B522" s="21" t="s">
        <v>249</v>
      </c>
      <c r="C522" s="24" t="s">
        <v>250</v>
      </c>
      <c r="D522" s="3">
        <v>254000</v>
      </c>
    </row>
    <row r="523" spans="1:4" ht="26.25" customHeight="1" x14ac:dyDescent="0.4">
      <c r="A523" s="2"/>
      <c r="B523" s="21" t="s">
        <v>251</v>
      </c>
      <c r="C523" s="24" t="s">
        <v>252</v>
      </c>
      <c r="D523" s="3">
        <v>186000</v>
      </c>
    </row>
    <row r="524" spans="1:4" ht="26.25" customHeight="1" x14ac:dyDescent="0.4">
      <c r="A524" s="2"/>
      <c r="B524" s="17" t="s">
        <v>253</v>
      </c>
      <c r="C524" s="2" t="s">
        <v>254</v>
      </c>
      <c r="D524" s="3">
        <v>208000</v>
      </c>
    </row>
    <row r="525" spans="1:4" ht="26.25" customHeight="1" x14ac:dyDescent="0.4">
      <c r="A525" s="2"/>
      <c r="B525" s="15" t="s">
        <v>255</v>
      </c>
      <c r="C525" s="2" t="s">
        <v>256</v>
      </c>
      <c r="D525" s="3">
        <v>202000</v>
      </c>
    </row>
    <row r="526" spans="1:4" ht="26.25" customHeight="1" x14ac:dyDescent="0.4">
      <c r="A526" s="2"/>
      <c r="B526" s="15" t="s">
        <v>257</v>
      </c>
      <c r="C526" s="2" t="s">
        <v>258</v>
      </c>
      <c r="D526" s="3">
        <v>248000</v>
      </c>
    </row>
    <row r="527" spans="1:4" ht="26.25" customHeight="1" x14ac:dyDescent="0.4">
      <c r="A527" s="2"/>
      <c r="B527" s="15" t="s">
        <v>259</v>
      </c>
      <c r="C527" s="16" t="s">
        <v>260</v>
      </c>
      <c r="D527" s="3">
        <v>234000</v>
      </c>
    </row>
    <row r="528" spans="1:4" ht="26.25" customHeight="1" x14ac:dyDescent="0.4">
      <c r="A528" s="2"/>
      <c r="B528" s="2" t="s">
        <v>21</v>
      </c>
      <c r="C528" s="2" t="s">
        <v>22</v>
      </c>
      <c r="D528" s="3">
        <v>151000</v>
      </c>
    </row>
    <row r="529" spans="1:4" ht="26.25" customHeight="1" x14ac:dyDescent="0.4">
      <c r="A529" s="2"/>
      <c r="B529" s="17" t="s">
        <v>261</v>
      </c>
      <c r="C529" s="2" t="s">
        <v>262</v>
      </c>
      <c r="D529" s="3">
        <v>163000</v>
      </c>
    </row>
    <row r="530" spans="1:4" ht="26.25" customHeight="1" x14ac:dyDescent="0.4">
      <c r="A530" s="2"/>
      <c r="B530" s="15" t="s">
        <v>23</v>
      </c>
      <c r="C530" s="16" t="s">
        <v>24</v>
      </c>
      <c r="D530" s="3">
        <v>302000</v>
      </c>
    </row>
    <row r="531" spans="1:4" ht="26.25" customHeight="1" x14ac:dyDescent="0.4">
      <c r="A531" s="2"/>
      <c r="B531" s="15" t="s">
        <v>263</v>
      </c>
      <c r="C531" s="16" t="s">
        <v>264</v>
      </c>
      <c r="D531" s="3">
        <v>193000</v>
      </c>
    </row>
    <row r="532" spans="1:4" ht="26.25" customHeight="1" x14ac:dyDescent="0.4">
      <c r="A532" s="2"/>
      <c r="B532" s="15" t="s">
        <v>265</v>
      </c>
      <c r="C532" s="16" t="s">
        <v>266</v>
      </c>
      <c r="D532" s="3">
        <v>129000</v>
      </c>
    </row>
    <row r="533" spans="1:4" ht="26.25" customHeight="1" x14ac:dyDescent="0.4">
      <c r="A533" s="2"/>
      <c r="B533" s="15" t="s">
        <v>267</v>
      </c>
      <c r="C533" s="16" t="s">
        <v>268</v>
      </c>
      <c r="D533" s="3">
        <v>79000</v>
      </c>
    </row>
    <row r="534" spans="1:4" ht="26.25" customHeight="1" x14ac:dyDescent="0.4">
      <c r="A534" s="2"/>
      <c r="B534" s="15" t="s">
        <v>269</v>
      </c>
      <c r="C534" s="16" t="s">
        <v>270</v>
      </c>
      <c r="D534" s="3">
        <v>50000</v>
      </c>
    </row>
    <row r="535" spans="1:4" ht="26.25" customHeight="1" x14ac:dyDescent="0.4">
      <c r="A535" s="2"/>
      <c r="B535" s="15" t="s">
        <v>271</v>
      </c>
      <c r="C535" s="16" t="s">
        <v>272</v>
      </c>
      <c r="D535" s="3">
        <v>40000</v>
      </c>
    </row>
    <row r="536" spans="1:4" ht="26.25" customHeight="1" x14ac:dyDescent="0.4">
      <c r="A536" s="2"/>
      <c r="B536" s="15" t="s">
        <v>273</v>
      </c>
      <c r="C536" s="16" t="s">
        <v>274</v>
      </c>
      <c r="D536" s="3">
        <v>28000</v>
      </c>
    </row>
    <row r="537" spans="1:4" ht="26.25" customHeight="1" x14ac:dyDescent="0.4">
      <c r="A537" s="2"/>
      <c r="B537" s="14" t="s">
        <v>275</v>
      </c>
      <c r="C537" s="14" t="s">
        <v>276</v>
      </c>
      <c r="D537" s="3">
        <v>728000</v>
      </c>
    </row>
    <row r="538" spans="1:4" ht="26.25" customHeight="1" x14ac:dyDescent="0.4">
      <c r="A538" s="2"/>
      <c r="B538" s="16" t="s">
        <v>277</v>
      </c>
      <c r="C538" s="16" t="s">
        <v>278</v>
      </c>
      <c r="D538" s="3">
        <v>2127000</v>
      </c>
    </row>
    <row r="539" spans="1:4" ht="26.25" customHeight="1" x14ac:dyDescent="0.4">
      <c r="A539" s="2"/>
      <c r="B539" s="15" t="s">
        <v>279</v>
      </c>
      <c r="C539" s="16" t="s">
        <v>280</v>
      </c>
      <c r="D539" s="3">
        <v>560000</v>
      </c>
    </row>
    <row r="540" spans="1:4" ht="26.25" customHeight="1" x14ac:dyDescent="0.4">
      <c r="A540" s="2"/>
      <c r="B540" s="23" t="s">
        <v>25</v>
      </c>
      <c r="C540" s="23" t="s">
        <v>26</v>
      </c>
      <c r="D540" s="3">
        <v>3603000</v>
      </c>
    </row>
    <row r="541" spans="1:4" ht="26.25" customHeight="1" x14ac:dyDescent="0.4">
      <c r="A541" s="2"/>
      <c r="B541" s="17" t="s">
        <v>281</v>
      </c>
      <c r="C541" s="2" t="s">
        <v>282</v>
      </c>
      <c r="D541" s="3">
        <v>718000</v>
      </c>
    </row>
    <row r="542" spans="1:4" ht="26.25" customHeight="1" x14ac:dyDescent="0.4">
      <c r="A542" s="2"/>
      <c r="B542" s="15" t="s">
        <v>283</v>
      </c>
      <c r="C542" s="16" t="s">
        <v>284</v>
      </c>
      <c r="D542" s="3">
        <v>95000</v>
      </c>
    </row>
    <row r="543" spans="1:4" ht="26.25" customHeight="1" x14ac:dyDescent="0.4">
      <c r="A543" s="2"/>
      <c r="B543" s="15" t="s">
        <v>285</v>
      </c>
      <c r="C543" s="2" t="s">
        <v>286</v>
      </c>
      <c r="D543" s="3">
        <v>147000</v>
      </c>
    </row>
    <row r="544" spans="1:4" ht="26.25" customHeight="1" x14ac:dyDescent="0.4">
      <c r="A544" s="2"/>
      <c r="B544" s="16" t="s">
        <v>287</v>
      </c>
      <c r="C544" s="16" t="s">
        <v>288</v>
      </c>
      <c r="D544" s="3">
        <v>1732000</v>
      </c>
    </row>
    <row r="545" spans="1:4" ht="26.25" customHeight="1" x14ac:dyDescent="0.4">
      <c r="A545" s="2"/>
      <c r="B545" s="16" t="s">
        <v>289</v>
      </c>
      <c r="C545" s="16" t="s">
        <v>290</v>
      </c>
      <c r="D545" s="3">
        <v>348000</v>
      </c>
    </row>
    <row r="546" spans="1:4" ht="26.25" customHeight="1" x14ac:dyDescent="0.4">
      <c r="A546" s="2"/>
      <c r="B546" s="15" t="s">
        <v>291</v>
      </c>
      <c r="C546" s="16" t="s">
        <v>292</v>
      </c>
      <c r="D546" s="3">
        <v>243000</v>
      </c>
    </row>
    <row r="547" spans="1:4" ht="26.25" customHeight="1" x14ac:dyDescent="0.4">
      <c r="A547" s="2"/>
      <c r="B547" s="15" t="s">
        <v>293</v>
      </c>
      <c r="C547" s="14" t="s">
        <v>294</v>
      </c>
      <c r="D547" s="3">
        <v>128000</v>
      </c>
    </row>
    <row r="548" spans="1:4" ht="26.25" customHeight="1" x14ac:dyDescent="0.4">
      <c r="A548" s="2"/>
      <c r="B548" s="15" t="s">
        <v>295</v>
      </c>
      <c r="C548" s="16" t="s">
        <v>296</v>
      </c>
      <c r="D548" s="3">
        <v>1216000</v>
      </c>
    </row>
    <row r="549" spans="1:4" ht="26.25" customHeight="1" x14ac:dyDescent="0.4">
      <c r="A549" s="2"/>
      <c r="B549" s="17" t="s">
        <v>297</v>
      </c>
      <c r="C549" s="16" t="s">
        <v>298</v>
      </c>
      <c r="D549" s="3">
        <v>51000</v>
      </c>
    </row>
    <row r="550" spans="1:4" ht="26.25" customHeight="1" x14ac:dyDescent="0.4">
      <c r="A550" s="2"/>
      <c r="B550" s="17" t="s">
        <v>299</v>
      </c>
      <c r="C550" s="2" t="s">
        <v>300</v>
      </c>
      <c r="D550" s="3">
        <v>753000</v>
      </c>
    </row>
    <row r="551" spans="1:4" ht="26.25" customHeight="1" x14ac:dyDescent="0.4">
      <c r="A551" s="2"/>
      <c r="B551" s="16" t="s">
        <v>27</v>
      </c>
      <c r="C551" s="16" t="s">
        <v>28</v>
      </c>
      <c r="D551" s="3">
        <v>1654000</v>
      </c>
    </row>
    <row r="552" spans="1:4" ht="26.25" customHeight="1" x14ac:dyDescent="0.4">
      <c r="A552" s="2"/>
      <c r="B552" s="15" t="s">
        <v>301</v>
      </c>
      <c r="C552" s="2" t="s">
        <v>302</v>
      </c>
      <c r="D552" s="3">
        <v>144000</v>
      </c>
    </row>
    <row r="553" spans="1:4" ht="26.25" customHeight="1" x14ac:dyDescent="0.4">
      <c r="A553" s="2"/>
      <c r="B553" s="24" t="s">
        <v>303</v>
      </c>
      <c r="C553" s="24" t="s">
        <v>304</v>
      </c>
      <c r="D553" s="3">
        <v>140000</v>
      </c>
    </row>
    <row r="554" spans="1:4" ht="26.25" customHeight="1" x14ac:dyDescent="0.4">
      <c r="A554" s="2"/>
      <c r="B554" s="16" t="s">
        <v>305</v>
      </c>
      <c r="C554" s="16" t="s">
        <v>306</v>
      </c>
      <c r="D554" s="3">
        <v>95000</v>
      </c>
    </row>
    <row r="555" spans="1:4" ht="26.25" customHeight="1" x14ac:dyDescent="0.4">
      <c r="A555" s="2"/>
      <c r="B555" s="15" t="s">
        <v>307</v>
      </c>
      <c r="C555" s="16" t="s">
        <v>308</v>
      </c>
      <c r="D555" s="3">
        <v>347000</v>
      </c>
    </row>
    <row r="556" spans="1:4" ht="26.25" customHeight="1" x14ac:dyDescent="0.4">
      <c r="A556" s="2"/>
      <c r="B556" s="15" t="s">
        <v>309</v>
      </c>
      <c r="C556" s="16" t="s">
        <v>310</v>
      </c>
      <c r="D556" s="3">
        <v>289000</v>
      </c>
    </row>
    <row r="557" spans="1:4" ht="26.25" customHeight="1" x14ac:dyDescent="0.4">
      <c r="A557" s="2"/>
      <c r="B557" s="15" t="s">
        <v>311</v>
      </c>
      <c r="C557" s="16" t="s">
        <v>312</v>
      </c>
      <c r="D557" s="3">
        <v>320000</v>
      </c>
    </row>
    <row r="558" spans="1:4" ht="26.25" customHeight="1" x14ac:dyDescent="0.4">
      <c r="A558" s="2"/>
      <c r="B558" s="17" t="s">
        <v>313</v>
      </c>
      <c r="C558" s="16" t="s">
        <v>314</v>
      </c>
      <c r="D558" s="3">
        <v>299000</v>
      </c>
    </row>
    <row r="559" spans="1:4" ht="26.25" customHeight="1" x14ac:dyDescent="0.4">
      <c r="A559" s="2"/>
      <c r="B559" s="16" t="s">
        <v>315</v>
      </c>
      <c r="C559" s="16" t="s">
        <v>316</v>
      </c>
      <c r="D559" s="3">
        <v>332000</v>
      </c>
    </row>
    <row r="560" spans="1:4" ht="26.25" customHeight="1" x14ac:dyDescent="0.4">
      <c r="A560" s="2"/>
      <c r="B560" s="15" t="s">
        <v>317</v>
      </c>
      <c r="C560" s="16" t="s">
        <v>318</v>
      </c>
      <c r="D560" s="3">
        <v>282000</v>
      </c>
    </row>
    <row r="561" spans="1:4" ht="26.25" customHeight="1" x14ac:dyDescent="0.4">
      <c r="A561" s="2"/>
      <c r="B561" s="15" t="s">
        <v>319</v>
      </c>
      <c r="C561" s="16" t="s">
        <v>320</v>
      </c>
      <c r="D561" s="3">
        <v>276000</v>
      </c>
    </row>
    <row r="562" spans="1:4" ht="26.25" customHeight="1" x14ac:dyDescent="0.4">
      <c r="A562" s="2"/>
      <c r="B562" s="15" t="s">
        <v>29</v>
      </c>
      <c r="C562" s="16" t="s">
        <v>30</v>
      </c>
      <c r="D562" s="3">
        <v>308000</v>
      </c>
    </row>
    <row r="563" spans="1:4" ht="26.25" customHeight="1" x14ac:dyDescent="0.4">
      <c r="A563" s="2"/>
      <c r="B563" s="16" t="s">
        <v>31</v>
      </c>
      <c r="C563" s="2" t="s">
        <v>32</v>
      </c>
      <c r="D563" s="3">
        <v>463000</v>
      </c>
    </row>
    <row r="564" spans="1:4" ht="26.25" customHeight="1" x14ac:dyDescent="0.4">
      <c r="A564" s="2"/>
      <c r="B564" s="15" t="s">
        <v>33</v>
      </c>
      <c r="C564" s="32" t="s">
        <v>34</v>
      </c>
      <c r="D564" s="3">
        <v>438000</v>
      </c>
    </row>
    <row r="565" spans="1:4" ht="26.25" customHeight="1" x14ac:dyDescent="0.4">
      <c r="A565" s="2"/>
      <c r="B565" s="16" t="s">
        <v>321</v>
      </c>
      <c r="C565" s="16" t="s">
        <v>322</v>
      </c>
      <c r="D565" s="3">
        <v>25000</v>
      </c>
    </row>
    <row r="566" spans="1:4" ht="26.25" customHeight="1" x14ac:dyDescent="0.4">
      <c r="A566" s="2"/>
      <c r="B566" s="15" t="s">
        <v>323</v>
      </c>
      <c r="C566" s="24" t="s">
        <v>324</v>
      </c>
      <c r="D566" s="3">
        <v>22000</v>
      </c>
    </row>
    <row r="567" spans="1:4" ht="26.25" customHeight="1" x14ac:dyDescent="0.4">
      <c r="A567" s="2"/>
      <c r="B567" s="15" t="s">
        <v>325</v>
      </c>
      <c r="C567" s="2" t="s">
        <v>326</v>
      </c>
      <c r="D567" s="3">
        <v>887000</v>
      </c>
    </row>
    <row r="568" spans="1:4" ht="26.25" customHeight="1" x14ac:dyDescent="0.4">
      <c r="A568" s="2"/>
      <c r="B568" s="16" t="s">
        <v>327</v>
      </c>
      <c r="C568" s="16" t="s">
        <v>328</v>
      </c>
      <c r="D568" s="3">
        <v>71000</v>
      </c>
    </row>
    <row r="569" spans="1:4" ht="26.25" customHeight="1" x14ac:dyDescent="0.4">
      <c r="A569" s="2"/>
      <c r="B569" s="17" t="s">
        <v>329</v>
      </c>
      <c r="C569" s="2" t="s">
        <v>330</v>
      </c>
      <c r="D569" s="3">
        <v>25000</v>
      </c>
    </row>
    <row r="570" spans="1:4" ht="26.25" customHeight="1" x14ac:dyDescent="0.4">
      <c r="A570" s="2"/>
      <c r="B570" s="36" t="s">
        <v>1845</v>
      </c>
      <c r="C570" s="16" t="s">
        <v>35</v>
      </c>
      <c r="D570" s="3">
        <v>313000</v>
      </c>
    </row>
    <row r="571" spans="1:4" ht="26.25" customHeight="1" x14ac:dyDescent="0.4">
      <c r="A571" s="2"/>
      <c r="B571" s="17" t="s">
        <v>331</v>
      </c>
      <c r="C571" s="2" t="s">
        <v>332</v>
      </c>
      <c r="D571" s="3">
        <v>699000</v>
      </c>
    </row>
    <row r="572" spans="1:4" ht="26.25" customHeight="1" x14ac:dyDescent="0.4">
      <c r="A572" s="2"/>
      <c r="B572" s="12" t="s">
        <v>333</v>
      </c>
      <c r="C572" s="16" t="s">
        <v>334</v>
      </c>
      <c r="D572" s="3">
        <v>860000</v>
      </c>
    </row>
    <row r="573" spans="1:4" ht="26.25" customHeight="1" x14ac:dyDescent="0.4">
      <c r="A573" s="2"/>
      <c r="B573" s="22" t="s">
        <v>335</v>
      </c>
      <c r="C573" s="2" t="s">
        <v>336</v>
      </c>
      <c r="D573" s="3">
        <v>541000</v>
      </c>
    </row>
    <row r="574" spans="1:4" ht="26.25" customHeight="1" x14ac:dyDescent="0.4">
      <c r="A574" s="2"/>
      <c r="B574" s="17" t="s">
        <v>337</v>
      </c>
      <c r="C574" s="2" t="s">
        <v>338</v>
      </c>
      <c r="D574" s="3">
        <v>290000</v>
      </c>
    </row>
    <row r="575" spans="1:4" ht="26.25" customHeight="1" x14ac:dyDescent="0.4">
      <c r="A575" s="2"/>
      <c r="B575" s="17" t="s">
        <v>339</v>
      </c>
      <c r="C575" s="2" t="s">
        <v>340</v>
      </c>
      <c r="D575" s="3">
        <v>1009000</v>
      </c>
    </row>
    <row r="576" spans="1:4" ht="26.25" customHeight="1" x14ac:dyDescent="0.4">
      <c r="A576" s="2"/>
      <c r="B576" s="20" t="s">
        <v>341</v>
      </c>
      <c r="C576" s="16" t="s">
        <v>342</v>
      </c>
      <c r="D576" s="3">
        <v>603000</v>
      </c>
    </row>
    <row r="577" spans="1:4" ht="26.25" customHeight="1" x14ac:dyDescent="0.4">
      <c r="A577" s="2"/>
      <c r="B577" s="15" t="s">
        <v>36</v>
      </c>
      <c r="C577" s="16" t="s">
        <v>37</v>
      </c>
      <c r="D577" s="3">
        <v>219000</v>
      </c>
    </row>
    <row r="578" spans="1:4" ht="26.25" customHeight="1" x14ac:dyDescent="0.4">
      <c r="A578" s="2"/>
      <c r="B578" s="15" t="s">
        <v>343</v>
      </c>
      <c r="C578" s="14" t="s">
        <v>344</v>
      </c>
      <c r="D578" s="3">
        <v>277000</v>
      </c>
    </row>
    <row r="579" spans="1:4" ht="26.25" customHeight="1" x14ac:dyDescent="0.4">
      <c r="A579" s="2"/>
      <c r="B579" s="17" t="s">
        <v>345</v>
      </c>
      <c r="C579" s="16" t="s">
        <v>346</v>
      </c>
      <c r="D579" s="3">
        <v>271000</v>
      </c>
    </row>
    <row r="580" spans="1:4" ht="26.25" customHeight="1" x14ac:dyDescent="0.4">
      <c r="A580" s="2"/>
      <c r="B580" s="15" t="s">
        <v>347</v>
      </c>
      <c r="C580" s="14" t="s">
        <v>348</v>
      </c>
      <c r="D580" s="3">
        <v>243000</v>
      </c>
    </row>
    <row r="581" spans="1:4" ht="26.25" customHeight="1" x14ac:dyDescent="0.4">
      <c r="A581" s="2"/>
      <c r="B581" s="15" t="s">
        <v>349</v>
      </c>
      <c r="C581" s="24" t="s">
        <v>350</v>
      </c>
      <c r="D581" s="3">
        <v>212000</v>
      </c>
    </row>
    <row r="582" spans="1:4" ht="26.25" customHeight="1" x14ac:dyDescent="0.4">
      <c r="A582" s="2"/>
      <c r="B582" s="17" t="s">
        <v>351</v>
      </c>
      <c r="C582" s="2" t="s">
        <v>352</v>
      </c>
      <c r="D582" s="3">
        <v>210000</v>
      </c>
    </row>
    <row r="583" spans="1:4" ht="26.25" customHeight="1" x14ac:dyDescent="0.4">
      <c r="A583" s="2"/>
      <c r="B583" s="16" t="s">
        <v>38</v>
      </c>
      <c r="C583" s="16" t="s">
        <v>39</v>
      </c>
      <c r="D583" s="3">
        <v>367000</v>
      </c>
    </row>
    <row r="584" spans="1:4" ht="26.25" customHeight="1" x14ac:dyDescent="0.4">
      <c r="A584" s="2"/>
      <c r="B584" s="17" t="s">
        <v>40</v>
      </c>
      <c r="C584" s="2" t="s">
        <v>41</v>
      </c>
      <c r="D584" s="3">
        <v>692000</v>
      </c>
    </row>
    <row r="585" spans="1:4" ht="26.25" customHeight="1" x14ac:dyDescent="0.4">
      <c r="A585" s="2"/>
      <c r="B585" s="16" t="s">
        <v>42</v>
      </c>
      <c r="C585" s="16" t="s">
        <v>43</v>
      </c>
      <c r="D585" s="3">
        <v>390000</v>
      </c>
    </row>
    <row r="586" spans="1:4" ht="26.25" customHeight="1" x14ac:dyDescent="0.4">
      <c r="A586" s="2"/>
      <c r="B586" s="16" t="s">
        <v>353</v>
      </c>
      <c r="C586" s="2" t="s">
        <v>354</v>
      </c>
      <c r="D586" s="3">
        <v>58000</v>
      </c>
    </row>
    <row r="587" spans="1:4" ht="26.25" customHeight="1" x14ac:dyDescent="0.4">
      <c r="A587" s="2"/>
      <c r="B587" s="15" t="s">
        <v>355</v>
      </c>
      <c r="C587" s="2" t="s">
        <v>356</v>
      </c>
      <c r="D587" s="3">
        <v>28000</v>
      </c>
    </row>
    <row r="588" spans="1:4" ht="26.25" customHeight="1" x14ac:dyDescent="0.4">
      <c r="A588" s="2"/>
      <c r="B588" s="15" t="s">
        <v>357</v>
      </c>
      <c r="C588" s="34" t="s">
        <v>358</v>
      </c>
      <c r="D588" s="3">
        <v>28000</v>
      </c>
    </row>
    <row r="589" spans="1:4" ht="26.25" customHeight="1" x14ac:dyDescent="0.4">
      <c r="A589" s="2"/>
      <c r="B589" s="15" t="s">
        <v>359</v>
      </c>
      <c r="C589" s="24" t="s">
        <v>360</v>
      </c>
      <c r="D589" s="3">
        <v>25000</v>
      </c>
    </row>
    <row r="590" spans="1:4" ht="26.25" customHeight="1" x14ac:dyDescent="0.4">
      <c r="A590" s="2"/>
      <c r="B590" s="25" t="s">
        <v>361</v>
      </c>
      <c r="C590" s="16" t="s">
        <v>362</v>
      </c>
      <c r="D590" s="3">
        <v>118000</v>
      </c>
    </row>
    <row r="591" spans="1:4" ht="26.25" customHeight="1" x14ac:dyDescent="0.4">
      <c r="A591" s="2"/>
      <c r="B591" s="17" t="s">
        <v>363</v>
      </c>
      <c r="C591" s="2" t="s">
        <v>364</v>
      </c>
      <c r="D591" s="3">
        <v>17000</v>
      </c>
    </row>
    <row r="592" spans="1:4" ht="26.25" customHeight="1" x14ac:dyDescent="0.4">
      <c r="A592" s="2"/>
      <c r="B592" s="17" t="s">
        <v>365</v>
      </c>
      <c r="C592" s="2" t="s">
        <v>366</v>
      </c>
      <c r="D592" s="3">
        <v>133000</v>
      </c>
    </row>
    <row r="593" spans="1:4" ht="26.25" customHeight="1" x14ac:dyDescent="0.4">
      <c r="A593" s="2"/>
      <c r="B593" s="15" t="s">
        <v>367</v>
      </c>
      <c r="C593" s="2" t="s">
        <v>368</v>
      </c>
      <c r="D593" s="3">
        <v>9500</v>
      </c>
    </row>
    <row r="594" spans="1:4" ht="26.25" customHeight="1" x14ac:dyDescent="0.4">
      <c r="A594" s="2"/>
      <c r="B594" s="15" t="s">
        <v>369</v>
      </c>
      <c r="C594" s="16" t="s">
        <v>370</v>
      </c>
      <c r="D594" s="3">
        <v>11000</v>
      </c>
    </row>
    <row r="595" spans="1:4" ht="26.25" customHeight="1" x14ac:dyDescent="0.4">
      <c r="A595" s="2"/>
      <c r="B595" s="21" t="s">
        <v>371</v>
      </c>
      <c r="C595" s="16" t="s">
        <v>372</v>
      </c>
      <c r="D595" s="3">
        <v>26000</v>
      </c>
    </row>
    <row r="596" spans="1:4" ht="26.25" customHeight="1" x14ac:dyDescent="0.4">
      <c r="A596" s="2"/>
      <c r="B596" s="15" t="s">
        <v>373</v>
      </c>
      <c r="C596" s="16" t="s">
        <v>374</v>
      </c>
      <c r="D596" s="3">
        <v>21000</v>
      </c>
    </row>
    <row r="597" spans="1:4" ht="26.25" customHeight="1" x14ac:dyDescent="0.4">
      <c r="A597" s="2"/>
      <c r="B597" s="19" t="s">
        <v>375</v>
      </c>
      <c r="C597" s="2" t="s">
        <v>376</v>
      </c>
      <c r="D597" s="3">
        <v>12000</v>
      </c>
    </row>
    <row r="598" spans="1:4" ht="26.25" customHeight="1" x14ac:dyDescent="0.4">
      <c r="A598" s="2"/>
      <c r="B598" s="15" t="s">
        <v>377</v>
      </c>
      <c r="C598" s="16" t="s">
        <v>378</v>
      </c>
      <c r="D598" s="3">
        <v>15000</v>
      </c>
    </row>
    <row r="599" spans="1:4" ht="26.25" customHeight="1" x14ac:dyDescent="0.4">
      <c r="A599" s="2"/>
      <c r="B599" s="16" t="s">
        <v>379</v>
      </c>
      <c r="C599" s="16" t="s">
        <v>380</v>
      </c>
      <c r="D599" s="3">
        <v>45000</v>
      </c>
    </row>
    <row r="600" spans="1:4" ht="26.25" customHeight="1" x14ac:dyDescent="0.4">
      <c r="A600" s="2"/>
      <c r="B600" s="25" t="s">
        <v>381</v>
      </c>
      <c r="C600" s="16" t="s">
        <v>382</v>
      </c>
      <c r="D600" s="3">
        <v>51000</v>
      </c>
    </row>
    <row r="601" spans="1:4" ht="26.25" customHeight="1" x14ac:dyDescent="0.4">
      <c r="A601" s="2"/>
      <c r="B601" s="15" t="s">
        <v>383</v>
      </c>
      <c r="C601" s="16" t="s">
        <v>384</v>
      </c>
      <c r="D601" s="3">
        <v>6300</v>
      </c>
    </row>
    <row r="602" spans="1:4" ht="26.25" customHeight="1" x14ac:dyDescent="0.4">
      <c r="A602" s="2"/>
      <c r="B602" s="21" t="s">
        <v>385</v>
      </c>
      <c r="C602" s="16" t="s">
        <v>386</v>
      </c>
      <c r="D602" s="3">
        <v>12000</v>
      </c>
    </row>
    <row r="603" spans="1:4" ht="26.25" customHeight="1" x14ac:dyDescent="0.4">
      <c r="A603" s="2"/>
      <c r="B603" s="15" t="s">
        <v>387</v>
      </c>
      <c r="C603" s="16" t="s">
        <v>388</v>
      </c>
      <c r="D603" s="3">
        <v>13000</v>
      </c>
    </row>
    <row r="604" spans="1:4" ht="26.25" customHeight="1" x14ac:dyDescent="0.4">
      <c r="A604" s="2"/>
      <c r="B604" s="17" t="s">
        <v>389</v>
      </c>
      <c r="C604" s="2" t="s">
        <v>390</v>
      </c>
      <c r="D604" s="3">
        <v>7400</v>
      </c>
    </row>
    <row r="605" spans="1:4" ht="26.25" customHeight="1" x14ac:dyDescent="0.4">
      <c r="A605" s="2"/>
      <c r="B605" s="15" t="s">
        <v>391</v>
      </c>
      <c r="C605" s="16" t="s">
        <v>392</v>
      </c>
      <c r="D605" s="3">
        <v>19000</v>
      </c>
    </row>
    <row r="606" spans="1:4" ht="26.25" customHeight="1" x14ac:dyDescent="0.4">
      <c r="A606" s="2"/>
      <c r="B606" s="16" t="s">
        <v>393</v>
      </c>
      <c r="C606" s="16" t="s">
        <v>394</v>
      </c>
      <c r="D606" s="3">
        <v>30000</v>
      </c>
    </row>
    <row r="607" spans="1:4" ht="26.25" customHeight="1" x14ac:dyDescent="0.4">
      <c r="A607" s="2"/>
      <c r="B607" s="16" t="s">
        <v>44</v>
      </c>
      <c r="C607" s="16" t="s">
        <v>45</v>
      </c>
      <c r="D607" s="3">
        <v>186000</v>
      </c>
    </row>
    <row r="608" spans="1:4" ht="26.25" customHeight="1" x14ac:dyDescent="0.4">
      <c r="A608" s="2"/>
      <c r="B608" s="16" t="s">
        <v>395</v>
      </c>
      <c r="C608" s="16" t="s">
        <v>396</v>
      </c>
      <c r="D608" s="3">
        <v>166000</v>
      </c>
    </row>
    <row r="609" spans="1:4" ht="26.25" customHeight="1" x14ac:dyDescent="0.4">
      <c r="A609" s="2"/>
      <c r="B609" s="15" t="s">
        <v>397</v>
      </c>
      <c r="C609" s="24" t="s">
        <v>398</v>
      </c>
      <c r="D609" s="3">
        <v>25000</v>
      </c>
    </row>
    <row r="610" spans="1:4" ht="26.25" customHeight="1" x14ac:dyDescent="0.4">
      <c r="A610" s="2"/>
      <c r="B610" s="17" t="s">
        <v>399</v>
      </c>
      <c r="C610" s="2" t="s">
        <v>400</v>
      </c>
      <c r="D610" s="3">
        <v>12000</v>
      </c>
    </row>
    <row r="611" spans="1:4" ht="26.25" customHeight="1" x14ac:dyDescent="0.4">
      <c r="A611" s="2"/>
      <c r="B611" s="15" t="s">
        <v>401</v>
      </c>
      <c r="C611" s="24" t="s">
        <v>402</v>
      </c>
      <c r="D611" s="3">
        <v>34000</v>
      </c>
    </row>
    <row r="612" spans="1:4" ht="26.25" customHeight="1" x14ac:dyDescent="0.4">
      <c r="A612" s="2"/>
      <c r="B612" s="15" t="s">
        <v>403</v>
      </c>
      <c r="C612" s="16" t="s">
        <v>404</v>
      </c>
      <c r="D612" s="3">
        <v>8300</v>
      </c>
    </row>
    <row r="613" spans="1:4" ht="26.25" customHeight="1" x14ac:dyDescent="0.4">
      <c r="A613" s="2"/>
      <c r="B613" s="21" t="s">
        <v>405</v>
      </c>
      <c r="C613" s="16" t="s">
        <v>406</v>
      </c>
      <c r="D613" s="3">
        <v>20000</v>
      </c>
    </row>
    <row r="614" spans="1:4" ht="26.25" customHeight="1" x14ac:dyDescent="0.4">
      <c r="A614" s="2"/>
      <c r="B614" s="15" t="s">
        <v>407</v>
      </c>
      <c r="C614" s="16" t="s">
        <v>408</v>
      </c>
      <c r="D614" s="3">
        <v>9500</v>
      </c>
    </row>
    <row r="615" spans="1:4" ht="26.25" customHeight="1" x14ac:dyDescent="0.4">
      <c r="A615" s="2"/>
      <c r="B615" s="15" t="s">
        <v>409</v>
      </c>
      <c r="C615" s="16" t="s">
        <v>410</v>
      </c>
      <c r="D615" s="3">
        <v>18000</v>
      </c>
    </row>
    <row r="616" spans="1:4" ht="26.25" customHeight="1" x14ac:dyDescent="0.4">
      <c r="A616" s="2"/>
      <c r="B616" s="17" t="s">
        <v>411</v>
      </c>
      <c r="C616" s="2" t="s">
        <v>412</v>
      </c>
      <c r="D616" s="3">
        <v>29000</v>
      </c>
    </row>
    <row r="617" spans="1:4" ht="26.25" customHeight="1" x14ac:dyDescent="0.4">
      <c r="A617" s="2"/>
      <c r="B617" s="15" t="s">
        <v>413</v>
      </c>
      <c r="C617" s="2" t="s">
        <v>414</v>
      </c>
      <c r="D617" s="3">
        <v>9500</v>
      </c>
    </row>
    <row r="618" spans="1:4" ht="26.25" customHeight="1" x14ac:dyDescent="0.4">
      <c r="A618" s="2"/>
      <c r="B618" s="15" t="s">
        <v>415</v>
      </c>
      <c r="C618" s="32" t="s">
        <v>416</v>
      </c>
      <c r="D618" s="3">
        <v>15000</v>
      </c>
    </row>
    <row r="619" spans="1:4" ht="26.25" customHeight="1" x14ac:dyDescent="0.4">
      <c r="A619" s="2"/>
      <c r="B619" s="25" t="s">
        <v>417</v>
      </c>
      <c r="C619" s="16" t="s">
        <v>418</v>
      </c>
      <c r="D619" s="3">
        <v>38000</v>
      </c>
    </row>
    <row r="620" spans="1:4" ht="26.25" customHeight="1" x14ac:dyDescent="0.4">
      <c r="A620" s="2"/>
      <c r="B620" s="19" t="s">
        <v>419</v>
      </c>
      <c r="C620" s="2" t="s">
        <v>420</v>
      </c>
      <c r="D620" s="3">
        <v>8500</v>
      </c>
    </row>
    <row r="621" spans="1:4" ht="26.25" customHeight="1" x14ac:dyDescent="0.4">
      <c r="A621" s="2"/>
      <c r="B621" s="21" t="s">
        <v>421</v>
      </c>
      <c r="C621" s="16" t="s">
        <v>422</v>
      </c>
      <c r="D621" s="3">
        <v>11000</v>
      </c>
    </row>
    <row r="622" spans="1:4" ht="26.25" customHeight="1" x14ac:dyDescent="0.4">
      <c r="A622" s="2"/>
      <c r="B622" s="15" t="s">
        <v>423</v>
      </c>
      <c r="C622" s="16" t="s">
        <v>424</v>
      </c>
      <c r="D622" s="3">
        <v>8500</v>
      </c>
    </row>
    <row r="623" spans="1:4" ht="26.25" customHeight="1" x14ac:dyDescent="0.4">
      <c r="A623" s="2"/>
      <c r="B623" s="15" t="s">
        <v>425</v>
      </c>
      <c r="C623" s="16" t="s">
        <v>426</v>
      </c>
      <c r="D623" s="3">
        <v>15000</v>
      </c>
    </row>
    <row r="624" spans="1:4" ht="26.25" customHeight="1" x14ac:dyDescent="0.4">
      <c r="A624" s="2"/>
      <c r="B624" s="15" t="s">
        <v>427</v>
      </c>
      <c r="C624" s="16" t="s">
        <v>428</v>
      </c>
      <c r="D624" s="3">
        <v>15000</v>
      </c>
    </row>
    <row r="625" spans="1:4" ht="26.25" customHeight="1" x14ac:dyDescent="0.4">
      <c r="A625" s="2"/>
      <c r="B625" s="25" t="s">
        <v>429</v>
      </c>
      <c r="C625" s="16" t="s">
        <v>430</v>
      </c>
      <c r="D625" s="3">
        <v>22000</v>
      </c>
    </row>
    <row r="626" spans="1:4" ht="26.25" customHeight="1" x14ac:dyDescent="0.4">
      <c r="A626" s="2"/>
      <c r="B626" s="15" t="s">
        <v>431</v>
      </c>
      <c r="C626" s="24" t="s">
        <v>432</v>
      </c>
      <c r="D626" s="3">
        <v>67000</v>
      </c>
    </row>
    <row r="627" spans="1:4" ht="26.25" customHeight="1" x14ac:dyDescent="0.4">
      <c r="A627" s="2"/>
      <c r="B627" s="15" t="s">
        <v>433</v>
      </c>
      <c r="C627" s="24" t="s">
        <v>434</v>
      </c>
      <c r="D627" s="3">
        <v>12000</v>
      </c>
    </row>
    <row r="628" spans="1:4" ht="26.25" customHeight="1" x14ac:dyDescent="0.4">
      <c r="A628" s="2"/>
      <c r="B628" s="15" t="s">
        <v>435</v>
      </c>
      <c r="C628" s="24" t="s">
        <v>436</v>
      </c>
      <c r="D628" s="3">
        <v>104000</v>
      </c>
    </row>
    <row r="629" spans="1:4" ht="26.25" customHeight="1" x14ac:dyDescent="0.4">
      <c r="A629" s="2"/>
      <c r="B629" s="17" t="s">
        <v>437</v>
      </c>
      <c r="C629" s="2" t="s">
        <v>438</v>
      </c>
      <c r="D629" s="3">
        <v>177000</v>
      </c>
    </row>
    <row r="630" spans="1:4" ht="26.25" customHeight="1" x14ac:dyDescent="0.4">
      <c r="A630" s="2"/>
      <c r="B630" s="15" t="s">
        <v>439</v>
      </c>
      <c r="C630" s="16" t="s">
        <v>440</v>
      </c>
      <c r="D630" s="3">
        <v>70000</v>
      </c>
    </row>
    <row r="631" spans="1:4" ht="26.25" customHeight="1" x14ac:dyDescent="0.4">
      <c r="A631" s="2"/>
      <c r="B631" s="15" t="s">
        <v>441</v>
      </c>
      <c r="C631" s="16" t="s">
        <v>442</v>
      </c>
      <c r="D631" s="3">
        <v>40000</v>
      </c>
    </row>
    <row r="632" spans="1:4" ht="26.25" customHeight="1" x14ac:dyDescent="0.4">
      <c r="A632" s="2"/>
      <c r="B632" s="15" t="s">
        <v>443</v>
      </c>
      <c r="C632" s="32" t="s">
        <v>444</v>
      </c>
      <c r="D632" s="3">
        <v>409000</v>
      </c>
    </row>
    <row r="633" spans="1:4" ht="26.25" customHeight="1" x14ac:dyDescent="0.4">
      <c r="A633" s="2"/>
      <c r="B633" s="15" t="s">
        <v>445</v>
      </c>
      <c r="C633" s="32" t="s">
        <v>446</v>
      </c>
      <c r="D633" s="3">
        <v>128000</v>
      </c>
    </row>
    <row r="634" spans="1:4" ht="26.25" customHeight="1" x14ac:dyDescent="0.4">
      <c r="A634" s="2"/>
      <c r="B634" s="16" t="s">
        <v>447</v>
      </c>
      <c r="C634" s="16" t="s">
        <v>448</v>
      </c>
      <c r="D634" s="3">
        <v>277000</v>
      </c>
    </row>
    <row r="635" spans="1:4" ht="26.25" customHeight="1" x14ac:dyDescent="0.4">
      <c r="A635" s="2"/>
      <c r="B635" s="16" t="s">
        <v>449</v>
      </c>
      <c r="C635" s="16" t="s">
        <v>450</v>
      </c>
      <c r="D635" s="3">
        <v>174000</v>
      </c>
    </row>
    <row r="636" spans="1:4" ht="26.25" customHeight="1" x14ac:dyDescent="0.4">
      <c r="A636" s="2"/>
      <c r="B636" s="16" t="s">
        <v>451</v>
      </c>
      <c r="C636" s="32" t="s">
        <v>452</v>
      </c>
      <c r="D636" s="3">
        <v>249000</v>
      </c>
    </row>
    <row r="637" spans="1:4" ht="26.25" customHeight="1" x14ac:dyDescent="0.4">
      <c r="A637" s="2"/>
      <c r="B637" s="15" t="s">
        <v>453</v>
      </c>
      <c r="C637" s="32" t="s">
        <v>454</v>
      </c>
      <c r="D637" s="3">
        <v>71000</v>
      </c>
    </row>
    <row r="638" spans="1:4" ht="26.25" customHeight="1" x14ac:dyDescent="0.4">
      <c r="A638" s="2"/>
      <c r="B638" s="17" t="s">
        <v>455</v>
      </c>
      <c r="C638" s="2" t="s">
        <v>456</v>
      </c>
      <c r="D638" s="3">
        <v>684000</v>
      </c>
    </row>
    <row r="639" spans="1:4" ht="26.25" customHeight="1" x14ac:dyDescent="0.4">
      <c r="A639" s="2"/>
      <c r="B639" s="15" t="s">
        <v>457</v>
      </c>
      <c r="C639" s="14" t="s">
        <v>458</v>
      </c>
      <c r="D639" s="3">
        <v>173000</v>
      </c>
    </row>
    <row r="640" spans="1:4" ht="26.25" customHeight="1" x14ac:dyDescent="0.4">
      <c r="A640" s="2"/>
      <c r="B640" s="15" t="s">
        <v>459</v>
      </c>
      <c r="C640" s="14" t="s">
        <v>460</v>
      </c>
      <c r="D640" s="3">
        <v>753000</v>
      </c>
    </row>
    <row r="641" spans="1:4" ht="26.25" customHeight="1" x14ac:dyDescent="0.4">
      <c r="A641" s="2"/>
      <c r="B641" s="17" t="s">
        <v>461</v>
      </c>
      <c r="C641" s="2" t="s">
        <v>462</v>
      </c>
      <c r="D641" s="3">
        <v>846000</v>
      </c>
    </row>
    <row r="642" spans="1:4" ht="26.25" customHeight="1" x14ac:dyDescent="0.4">
      <c r="A642" s="2"/>
      <c r="B642" s="21" t="s">
        <v>463</v>
      </c>
      <c r="C642" s="16" t="s">
        <v>464</v>
      </c>
      <c r="D642" s="3">
        <v>313000</v>
      </c>
    </row>
    <row r="643" spans="1:4" ht="26.25" customHeight="1" x14ac:dyDescent="0.4">
      <c r="A643" s="2"/>
      <c r="B643" s="22" t="s">
        <v>465</v>
      </c>
      <c r="C643" s="2" t="s">
        <v>466</v>
      </c>
      <c r="D643" s="3">
        <v>197000</v>
      </c>
    </row>
    <row r="644" spans="1:4" ht="26.25" customHeight="1" x14ac:dyDescent="0.4">
      <c r="A644" s="2"/>
      <c r="B644" s="17" t="s">
        <v>467</v>
      </c>
      <c r="C644" s="2" t="s">
        <v>468</v>
      </c>
      <c r="D644" s="3">
        <v>867000</v>
      </c>
    </row>
    <row r="645" spans="1:4" ht="26.25" customHeight="1" x14ac:dyDescent="0.4">
      <c r="A645" s="2"/>
      <c r="B645" s="17" t="s">
        <v>469</v>
      </c>
      <c r="C645" s="2" t="s">
        <v>470</v>
      </c>
      <c r="D645" s="3">
        <v>475000</v>
      </c>
    </row>
    <row r="646" spans="1:4" ht="26.25" customHeight="1" x14ac:dyDescent="0.4">
      <c r="A646" s="2"/>
      <c r="B646" s="15" t="s">
        <v>471</v>
      </c>
      <c r="C646" s="14" t="s">
        <v>472</v>
      </c>
      <c r="D646" s="3">
        <v>174000</v>
      </c>
    </row>
    <row r="647" spans="1:4" ht="26.25" customHeight="1" x14ac:dyDescent="0.4">
      <c r="A647" s="2"/>
      <c r="B647" s="17" t="s">
        <v>473</v>
      </c>
      <c r="C647" s="2" t="s">
        <v>474</v>
      </c>
      <c r="D647" s="3">
        <v>183000</v>
      </c>
    </row>
    <row r="648" spans="1:4" ht="26.25" customHeight="1" x14ac:dyDescent="0.4">
      <c r="A648" s="2"/>
      <c r="B648" s="25" t="s">
        <v>475</v>
      </c>
      <c r="C648" s="16" t="s">
        <v>476</v>
      </c>
      <c r="D648" s="3">
        <v>38000</v>
      </c>
    </row>
    <row r="649" spans="1:4" ht="26.25" customHeight="1" x14ac:dyDescent="0.4">
      <c r="A649" s="2"/>
      <c r="B649" s="18" t="s">
        <v>477</v>
      </c>
      <c r="C649" s="2" t="s">
        <v>478</v>
      </c>
      <c r="D649" s="3">
        <v>67000</v>
      </c>
    </row>
    <row r="650" spans="1:4" ht="26.25" customHeight="1" x14ac:dyDescent="0.4">
      <c r="A650" s="2"/>
      <c r="B650" s="25" t="s">
        <v>479</v>
      </c>
      <c r="C650" s="16" t="s">
        <v>480</v>
      </c>
      <c r="D650" s="3">
        <v>34000</v>
      </c>
    </row>
    <row r="651" spans="1:4" ht="26.25" customHeight="1" x14ac:dyDescent="0.4">
      <c r="A651" s="2"/>
      <c r="B651" s="25" t="s">
        <v>481</v>
      </c>
      <c r="C651" s="16" t="s">
        <v>482</v>
      </c>
      <c r="D651" s="3">
        <v>28000</v>
      </c>
    </row>
    <row r="652" spans="1:4" ht="26.25" customHeight="1" x14ac:dyDescent="0.4">
      <c r="A652" s="2"/>
      <c r="B652" s="15" t="s">
        <v>483</v>
      </c>
      <c r="C652" s="2" t="s">
        <v>484</v>
      </c>
      <c r="D652" s="3">
        <v>938000</v>
      </c>
    </row>
    <row r="653" spans="1:4" ht="26.25" customHeight="1" x14ac:dyDescent="0.4">
      <c r="A653" s="2"/>
      <c r="B653" s="15" t="s">
        <v>485</v>
      </c>
      <c r="C653" s="2" t="s">
        <v>486</v>
      </c>
      <c r="D653" s="3">
        <v>104000</v>
      </c>
    </row>
    <row r="654" spans="1:4" ht="26.25" customHeight="1" x14ac:dyDescent="0.4">
      <c r="A654" s="2"/>
      <c r="B654" s="22" t="s">
        <v>487</v>
      </c>
      <c r="C654" s="2" t="s">
        <v>488</v>
      </c>
      <c r="D654" s="3">
        <v>41000</v>
      </c>
    </row>
    <row r="655" spans="1:4" ht="26.25" customHeight="1" x14ac:dyDescent="0.4">
      <c r="A655" s="2"/>
      <c r="B655" s="16" t="s">
        <v>489</v>
      </c>
      <c r="C655" s="24" t="s">
        <v>490</v>
      </c>
      <c r="D655" s="3">
        <v>409000</v>
      </c>
    </row>
    <row r="656" spans="1:4" ht="26.25" customHeight="1" x14ac:dyDescent="0.4">
      <c r="A656" s="2"/>
      <c r="B656" s="19" t="s">
        <v>491</v>
      </c>
      <c r="C656" s="2" t="s">
        <v>492</v>
      </c>
      <c r="D656" s="3">
        <v>894000</v>
      </c>
    </row>
    <row r="657" spans="1:4" ht="26.25" customHeight="1" x14ac:dyDescent="0.4">
      <c r="A657" s="2"/>
      <c r="B657" s="19" t="s">
        <v>493</v>
      </c>
      <c r="C657" s="2" t="s">
        <v>494</v>
      </c>
      <c r="D657" s="3">
        <v>486000</v>
      </c>
    </row>
    <row r="658" spans="1:4" ht="26.25" customHeight="1" x14ac:dyDescent="0.4">
      <c r="A658" s="2"/>
      <c r="B658" s="15" t="s">
        <v>495</v>
      </c>
      <c r="C658" s="16" t="s">
        <v>496</v>
      </c>
      <c r="D658" s="3">
        <v>603000</v>
      </c>
    </row>
    <row r="659" spans="1:4" ht="26.25" customHeight="1" x14ac:dyDescent="0.4">
      <c r="A659" s="2"/>
      <c r="B659" s="15" t="s">
        <v>497</v>
      </c>
      <c r="C659" s="24" t="s">
        <v>498</v>
      </c>
      <c r="D659" s="3">
        <v>174000</v>
      </c>
    </row>
    <row r="660" spans="1:4" ht="26.25" customHeight="1" x14ac:dyDescent="0.4">
      <c r="A660" s="2"/>
      <c r="B660" s="21" t="s">
        <v>499</v>
      </c>
      <c r="C660" s="16" t="s">
        <v>500</v>
      </c>
      <c r="D660" s="3">
        <v>784000</v>
      </c>
    </row>
    <row r="661" spans="1:4" ht="26.25" customHeight="1" x14ac:dyDescent="0.4">
      <c r="A661" s="2"/>
      <c r="B661" s="15" t="s">
        <v>501</v>
      </c>
      <c r="C661" s="2" t="s">
        <v>502</v>
      </c>
      <c r="D661" s="3">
        <v>39000</v>
      </c>
    </row>
    <row r="662" spans="1:4" ht="26.25" customHeight="1" x14ac:dyDescent="0.4">
      <c r="A662" s="2"/>
      <c r="B662" s="15" t="s">
        <v>503</v>
      </c>
      <c r="C662" s="24" t="s">
        <v>504</v>
      </c>
      <c r="D662" s="3">
        <v>34000</v>
      </c>
    </row>
    <row r="663" spans="1:4" ht="26.25" customHeight="1" x14ac:dyDescent="0.4">
      <c r="A663" s="2"/>
      <c r="B663" s="15" t="s">
        <v>505</v>
      </c>
      <c r="C663" s="16" t="s">
        <v>506</v>
      </c>
      <c r="D663" s="3">
        <v>641000</v>
      </c>
    </row>
    <row r="664" spans="1:4" ht="26.25" customHeight="1" x14ac:dyDescent="0.4">
      <c r="A664" s="2">
        <v>1</v>
      </c>
      <c r="B664" s="15" t="s">
        <v>507</v>
      </c>
      <c r="C664" s="2" t="s">
        <v>508</v>
      </c>
      <c r="D664" s="3">
        <v>276000</v>
      </c>
    </row>
    <row r="665" spans="1:4" ht="26.25" customHeight="1" x14ac:dyDescent="0.4">
      <c r="A665" s="2"/>
      <c r="B665" s="2" t="s">
        <v>509</v>
      </c>
      <c r="C665" s="2" t="s">
        <v>510</v>
      </c>
      <c r="D665" s="3">
        <v>71000</v>
      </c>
    </row>
    <row r="666" spans="1:4" ht="26.25" customHeight="1" x14ac:dyDescent="0.4">
      <c r="A666" s="2"/>
      <c r="B666" s="15" t="s">
        <v>511</v>
      </c>
      <c r="C666" s="16" t="s">
        <v>512</v>
      </c>
      <c r="D666" s="3">
        <v>83000</v>
      </c>
    </row>
    <row r="667" spans="1:4" ht="26.25" customHeight="1" x14ac:dyDescent="0.4">
      <c r="A667" s="2"/>
      <c r="B667" s="15" t="s">
        <v>513</v>
      </c>
      <c r="C667" s="14" t="s">
        <v>514</v>
      </c>
      <c r="D667" s="3">
        <v>464000</v>
      </c>
    </row>
    <row r="668" spans="1:4" ht="26.25" customHeight="1" x14ac:dyDescent="0.4">
      <c r="A668" s="2"/>
      <c r="B668" s="15" t="s">
        <v>515</v>
      </c>
      <c r="C668" s="14" t="s">
        <v>516</v>
      </c>
      <c r="D668" s="3">
        <v>1247000</v>
      </c>
    </row>
    <row r="669" spans="1:4" ht="26.25" customHeight="1" x14ac:dyDescent="0.4">
      <c r="A669" s="2"/>
      <c r="B669" s="16" t="s">
        <v>46</v>
      </c>
      <c r="C669" s="24" t="s">
        <v>47</v>
      </c>
      <c r="D669" s="3">
        <v>104000</v>
      </c>
    </row>
    <row r="670" spans="1:4" ht="26.25" customHeight="1" x14ac:dyDescent="0.4">
      <c r="A670" s="2"/>
      <c r="B670" s="15" t="s">
        <v>517</v>
      </c>
      <c r="C670" s="16" t="s">
        <v>518</v>
      </c>
      <c r="D670" s="3">
        <v>17000</v>
      </c>
    </row>
    <row r="671" spans="1:4" ht="26.25" customHeight="1" x14ac:dyDescent="0.4">
      <c r="A671" s="2"/>
      <c r="B671" s="15" t="s">
        <v>519</v>
      </c>
      <c r="C671" s="16" t="s">
        <v>520</v>
      </c>
      <c r="D671" s="3">
        <v>409000</v>
      </c>
    </row>
    <row r="672" spans="1:4" ht="26.25" customHeight="1" x14ac:dyDescent="0.4">
      <c r="A672" s="2"/>
      <c r="B672" s="17" t="s">
        <v>521</v>
      </c>
      <c r="C672" s="2" t="s">
        <v>522</v>
      </c>
      <c r="D672" s="3">
        <v>653000</v>
      </c>
    </row>
    <row r="673" spans="1:4" ht="26.25" customHeight="1" x14ac:dyDescent="0.4">
      <c r="A673" s="2"/>
      <c r="B673" s="15" t="s">
        <v>523</v>
      </c>
      <c r="C673" s="16" t="s">
        <v>524</v>
      </c>
      <c r="D673" s="3">
        <v>350000</v>
      </c>
    </row>
    <row r="674" spans="1:4" ht="26.25" customHeight="1" x14ac:dyDescent="0.4">
      <c r="A674" s="2"/>
      <c r="B674" s="15" t="s">
        <v>525</v>
      </c>
      <c r="C674" s="16" t="s">
        <v>526</v>
      </c>
      <c r="D674" s="3">
        <v>150000</v>
      </c>
    </row>
    <row r="675" spans="1:4" ht="26.25" customHeight="1" x14ac:dyDescent="0.4">
      <c r="A675" s="2"/>
      <c r="B675" s="15" t="s">
        <v>527</v>
      </c>
      <c r="C675" s="16" t="s">
        <v>528</v>
      </c>
      <c r="D675" s="3">
        <v>150000</v>
      </c>
    </row>
    <row r="676" spans="1:4" ht="26.25" customHeight="1" x14ac:dyDescent="0.4">
      <c r="A676" s="2"/>
      <c r="B676" s="15" t="s">
        <v>529</v>
      </c>
      <c r="C676" s="16" t="s">
        <v>530</v>
      </c>
      <c r="D676" s="3">
        <v>198000</v>
      </c>
    </row>
    <row r="677" spans="1:4" ht="26.25" customHeight="1" x14ac:dyDescent="0.4">
      <c r="A677" s="2"/>
      <c r="B677" s="15" t="s">
        <v>531</v>
      </c>
      <c r="C677" s="14" t="s">
        <v>532</v>
      </c>
      <c r="D677" s="3">
        <v>846000</v>
      </c>
    </row>
    <row r="678" spans="1:4" ht="26.25" customHeight="1" x14ac:dyDescent="0.4">
      <c r="A678" s="2"/>
      <c r="B678" s="2" t="s">
        <v>533</v>
      </c>
      <c r="C678" s="2" t="s">
        <v>534</v>
      </c>
      <c r="D678" s="3">
        <v>662000</v>
      </c>
    </row>
    <row r="679" spans="1:4" ht="26.25" customHeight="1" x14ac:dyDescent="0.4">
      <c r="A679" s="2"/>
      <c r="B679" s="15" t="s">
        <v>535</v>
      </c>
      <c r="C679" s="16" t="s">
        <v>536</v>
      </c>
      <c r="D679" s="3">
        <v>872000</v>
      </c>
    </row>
    <row r="680" spans="1:4" ht="26.25" customHeight="1" x14ac:dyDescent="0.4">
      <c r="A680" s="2"/>
      <c r="B680" s="15" t="s">
        <v>537</v>
      </c>
      <c r="C680" s="16" t="s">
        <v>538</v>
      </c>
      <c r="D680" s="3">
        <v>348000</v>
      </c>
    </row>
    <row r="681" spans="1:4" ht="26.25" customHeight="1" x14ac:dyDescent="0.4">
      <c r="A681" s="2"/>
      <c r="B681" s="17" t="s">
        <v>48</v>
      </c>
      <c r="C681" s="2" t="s">
        <v>49</v>
      </c>
      <c r="D681" s="3">
        <v>282000</v>
      </c>
    </row>
    <row r="682" spans="1:4" ht="26.25" customHeight="1" x14ac:dyDescent="0.4">
      <c r="A682" s="2"/>
      <c r="B682" s="14" t="s">
        <v>539</v>
      </c>
      <c r="C682" s="14" t="s">
        <v>540</v>
      </c>
      <c r="D682" s="3">
        <v>87000</v>
      </c>
    </row>
    <row r="683" spans="1:4" ht="26.25" customHeight="1" x14ac:dyDescent="0.4">
      <c r="A683" s="2"/>
      <c r="B683" s="15" t="s">
        <v>541</v>
      </c>
      <c r="C683" s="14" t="s">
        <v>542</v>
      </c>
      <c r="D683" s="3">
        <v>1323000</v>
      </c>
    </row>
    <row r="684" spans="1:4" ht="26.25" customHeight="1" x14ac:dyDescent="0.4">
      <c r="A684" s="2"/>
      <c r="B684" s="17" t="s">
        <v>930</v>
      </c>
      <c r="C684" s="2" t="s">
        <v>50</v>
      </c>
      <c r="D684" s="3">
        <v>5220000</v>
      </c>
    </row>
    <row r="685" spans="1:4" ht="26.25" customHeight="1" x14ac:dyDescent="0.4">
      <c r="A685" s="2"/>
      <c r="B685" s="17" t="s">
        <v>51</v>
      </c>
      <c r="C685" s="2" t="s">
        <v>52</v>
      </c>
      <c r="D685" s="3">
        <v>872000</v>
      </c>
    </row>
    <row r="686" spans="1:4" ht="26.25" customHeight="1" x14ac:dyDescent="0.4">
      <c r="A686" s="2"/>
      <c r="B686" s="24" t="s">
        <v>1839</v>
      </c>
      <c r="C686" s="16" t="s">
        <v>1838</v>
      </c>
      <c r="D686" s="3">
        <v>963000</v>
      </c>
    </row>
    <row r="687" spans="1:4" ht="26.25" customHeight="1" x14ac:dyDescent="0.4">
      <c r="A687" s="2"/>
      <c r="B687" s="24" t="s">
        <v>1840</v>
      </c>
      <c r="C687" s="16" t="s">
        <v>53</v>
      </c>
      <c r="D687" s="3">
        <v>963000</v>
      </c>
    </row>
    <row r="688" spans="1:4" ht="26.25" customHeight="1" x14ac:dyDescent="0.4">
      <c r="A688" s="2"/>
      <c r="B688" s="23" t="s">
        <v>54</v>
      </c>
      <c r="C688" s="23" t="s">
        <v>55</v>
      </c>
      <c r="D688" s="3">
        <v>1489000</v>
      </c>
    </row>
    <row r="689" spans="1:4" ht="26.25" customHeight="1" x14ac:dyDescent="0.4">
      <c r="A689" s="2"/>
      <c r="B689" s="26" t="s">
        <v>543</v>
      </c>
      <c r="C689" s="16" t="s">
        <v>544</v>
      </c>
      <c r="D689" s="3">
        <v>157000</v>
      </c>
    </row>
    <row r="690" spans="1:4" ht="26.25" customHeight="1" x14ac:dyDescent="0.4">
      <c r="A690" s="2"/>
      <c r="B690" s="12" t="s">
        <v>545</v>
      </c>
      <c r="C690" s="16" t="s">
        <v>546</v>
      </c>
      <c r="D690" s="3">
        <v>828000</v>
      </c>
    </row>
    <row r="691" spans="1:4" ht="26.25" customHeight="1" x14ac:dyDescent="0.4">
      <c r="A691" s="2"/>
      <c r="B691" s="12" t="s">
        <v>547</v>
      </c>
      <c r="C691" s="16" t="s">
        <v>548</v>
      </c>
      <c r="D691" s="3">
        <v>816000</v>
      </c>
    </row>
    <row r="692" spans="1:4" ht="26.25" customHeight="1" x14ac:dyDescent="0.4">
      <c r="A692" s="2"/>
      <c r="B692" s="23" t="s">
        <v>56</v>
      </c>
      <c r="C692" s="23" t="s">
        <v>57</v>
      </c>
      <c r="D692" s="3">
        <v>1908000</v>
      </c>
    </row>
    <row r="693" spans="1:4" ht="26.25" customHeight="1" x14ac:dyDescent="0.4">
      <c r="A693" s="2"/>
      <c r="B693" s="23" t="s">
        <v>549</v>
      </c>
      <c r="C693" s="23" t="s">
        <v>550</v>
      </c>
      <c r="D693" s="3">
        <v>1745000</v>
      </c>
    </row>
    <row r="694" spans="1:4" ht="26.25" customHeight="1" x14ac:dyDescent="0.4">
      <c r="A694" s="2"/>
      <c r="B694" s="12" t="s">
        <v>551</v>
      </c>
      <c r="C694" s="16" t="s">
        <v>552</v>
      </c>
      <c r="D694" s="3">
        <v>2063000</v>
      </c>
    </row>
    <row r="695" spans="1:4" ht="26.25" customHeight="1" x14ac:dyDescent="0.4">
      <c r="A695" s="2"/>
      <c r="B695" s="12" t="s">
        <v>553</v>
      </c>
      <c r="C695" s="16" t="s">
        <v>554</v>
      </c>
      <c r="D695" s="3">
        <v>2041000</v>
      </c>
    </row>
    <row r="696" spans="1:4" ht="26.25" customHeight="1" x14ac:dyDescent="0.4">
      <c r="A696" s="2"/>
      <c r="B696" s="20" t="s">
        <v>555</v>
      </c>
      <c r="C696" s="16" t="s">
        <v>556</v>
      </c>
      <c r="D696" s="3">
        <v>15000</v>
      </c>
    </row>
    <row r="697" spans="1:4" ht="26.25" customHeight="1" x14ac:dyDescent="0.4">
      <c r="A697" s="2"/>
      <c r="B697" s="12" t="s">
        <v>557</v>
      </c>
      <c r="C697" s="16" t="s">
        <v>558</v>
      </c>
      <c r="D697" s="3">
        <v>277000</v>
      </c>
    </row>
    <row r="698" spans="1:4" ht="26.25" customHeight="1" x14ac:dyDescent="0.4">
      <c r="A698" s="2"/>
      <c r="B698" s="12" t="s">
        <v>559</v>
      </c>
      <c r="C698" s="16" t="s">
        <v>560</v>
      </c>
      <c r="D698" s="3">
        <v>233000</v>
      </c>
    </row>
    <row r="699" spans="1:4" ht="26.25" customHeight="1" x14ac:dyDescent="0.4">
      <c r="A699" s="2"/>
      <c r="B699" s="16" t="s">
        <v>561</v>
      </c>
      <c r="C699" s="16" t="s">
        <v>562</v>
      </c>
      <c r="D699" s="3">
        <v>403000</v>
      </c>
    </row>
    <row r="700" spans="1:4" ht="26.25" customHeight="1" x14ac:dyDescent="0.4">
      <c r="A700" s="2"/>
      <c r="B700" s="16" t="s">
        <v>563</v>
      </c>
      <c r="C700" s="16" t="s">
        <v>564</v>
      </c>
      <c r="D700" s="3">
        <v>574000</v>
      </c>
    </row>
    <row r="701" spans="1:4" ht="26.25" customHeight="1" x14ac:dyDescent="0.4">
      <c r="A701" s="2"/>
      <c r="B701" s="23" t="s">
        <v>58</v>
      </c>
      <c r="C701" s="23" t="s">
        <v>59</v>
      </c>
      <c r="D701" s="3">
        <v>1272000</v>
      </c>
    </row>
    <row r="702" spans="1:4" ht="26.25" customHeight="1" x14ac:dyDescent="0.4">
      <c r="A702" s="2"/>
      <c r="B702" s="27" t="s">
        <v>1841</v>
      </c>
      <c r="C702" s="16" t="s">
        <v>565</v>
      </c>
      <c r="D702" s="3">
        <v>411000</v>
      </c>
    </row>
    <row r="703" spans="1:4" ht="26.25" customHeight="1" x14ac:dyDescent="0.4">
      <c r="A703" s="2"/>
      <c r="B703" s="27" t="s">
        <v>1842</v>
      </c>
      <c r="C703" s="16" t="s">
        <v>566</v>
      </c>
      <c r="D703" s="3">
        <v>233000</v>
      </c>
    </row>
    <row r="704" spans="1:4" ht="26.25" customHeight="1" x14ac:dyDescent="0.4">
      <c r="A704" s="2"/>
      <c r="B704" s="12" t="s">
        <v>567</v>
      </c>
      <c r="C704" s="16" t="s">
        <v>568</v>
      </c>
      <c r="D704" s="3">
        <v>519000</v>
      </c>
    </row>
    <row r="705" spans="1:4" ht="26.25" customHeight="1" x14ac:dyDescent="0.4">
      <c r="A705" s="2"/>
      <c r="B705" s="12" t="s">
        <v>569</v>
      </c>
      <c r="C705" s="16" t="s">
        <v>570</v>
      </c>
      <c r="D705" s="3">
        <v>662000</v>
      </c>
    </row>
    <row r="706" spans="1:4" ht="26.25" customHeight="1" x14ac:dyDescent="0.4">
      <c r="A706" s="2"/>
      <c r="B706" s="27" t="s">
        <v>1843</v>
      </c>
      <c r="C706" s="16" t="s">
        <v>571</v>
      </c>
      <c r="D706" s="3">
        <v>144000</v>
      </c>
    </row>
    <row r="707" spans="1:4" ht="26.25" customHeight="1" x14ac:dyDescent="0.4">
      <c r="A707" s="2"/>
      <c r="B707" s="27" t="s">
        <v>1844</v>
      </c>
      <c r="C707" s="23" t="s">
        <v>60</v>
      </c>
      <c r="D707" s="3">
        <v>563000</v>
      </c>
    </row>
    <row r="708" spans="1:4" ht="26.25" customHeight="1" x14ac:dyDescent="0.4">
      <c r="A708" s="2"/>
      <c r="B708" s="12" t="s">
        <v>572</v>
      </c>
      <c r="C708" s="16" t="s">
        <v>573</v>
      </c>
      <c r="D708" s="3">
        <v>392000</v>
      </c>
    </row>
    <row r="709" spans="1:4" ht="26.25" customHeight="1" x14ac:dyDescent="0.4">
      <c r="A709" s="2"/>
      <c r="B709" s="16" t="s">
        <v>574</v>
      </c>
      <c r="C709" s="23" t="s">
        <v>575</v>
      </c>
      <c r="D709" s="3">
        <v>78000</v>
      </c>
    </row>
    <row r="710" spans="1:4" ht="26.25" customHeight="1" x14ac:dyDescent="0.4">
      <c r="A710" s="2"/>
      <c r="B710" s="16" t="s">
        <v>576</v>
      </c>
      <c r="C710" s="23" t="s">
        <v>577</v>
      </c>
      <c r="D710" s="3">
        <v>78000</v>
      </c>
    </row>
    <row r="711" spans="1:4" ht="26.25" customHeight="1" x14ac:dyDescent="0.4">
      <c r="A711" s="2"/>
      <c r="B711" s="16" t="s">
        <v>578</v>
      </c>
      <c r="C711" s="23" t="s">
        <v>579</v>
      </c>
      <c r="D711" s="3">
        <v>40000</v>
      </c>
    </row>
    <row r="712" spans="1:4" ht="26.25" customHeight="1" x14ac:dyDescent="0.4">
      <c r="A712" s="2"/>
      <c r="B712" s="16" t="s">
        <v>580</v>
      </c>
      <c r="C712" s="23" t="s">
        <v>581</v>
      </c>
      <c r="D712" s="3">
        <v>53000</v>
      </c>
    </row>
    <row r="713" spans="1:4" ht="26.25" customHeight="1" x14ac:dyDescent="0.4">
      <c r="A713" s="2"/>
      <c r="B713" s="16" t="s">
        <v>582</v>
      </c>
      <c r="C713" s="23" t="s">
        <v>583</v>
      </c>
      <c r="D713" s="3">
        <v>144000</v>
      </c>
    </row>
    <row r="714" spans="1:4" ht="26.25" customHeight="1" x14ac:dyDescent="0.4">
      <c r="A714" s="2"/>
      <c r="B714" s="17" t="s">
        <v>584</v>
      </c>
      <c r="C714" s="2" t="s">
        <v>585</v>
      </c>
      <c r="D714" s="3">
        <v>188000</v>
      </c>
    </row>
    <row r="715" spans="1:4" ht="26.25" customHeight="1" x14ac:dyDescent="0.4">
      <c r="A715" s="2"/>
      <c r="B715" s="17" t="s">
        <v>586</v>
      </c>
      <c r="C715" s="2" t="s">
        <v>587</v>
      </c>
      <c r="D715" s="3">
        <v>293000</v>
      </c>
    </row>
    <row r="716" spans="1:4" ht="26.25" customHeight="1" x14ac:dyDescent="0.4">
      <c r="A716" s="2"/>
      <c r="B716" s="15" t="s">
        <v>588</v>
      </c>
      <c r="C716" s="16" t="s">
        <v>589</v>
      </c>
      <c r="D716" s="3">
        <v>117000</v>
      </c>
    </row>
    <row r="717" spans="1:4" ht="26.25" customHeight="1" x14ac:dyDescent="0.4">
      <c r="A717" s="2"/>
      <c r="B717" s="28" t="s">
        <v>590</v>
      </c>
      <c r="C717" s="16" t="s">
        <v>591</v>
      </c>
      <c r="D717" s="3">
        <v>25000</v>
      </c>
    </row>
    <row r="718" spans="1:4" ht="26.25" customHeight="1" x14ac:dyDescent="0.4">
      <c r="A718" s="2"/>
      <c r="B718" s="17" t="s">
        <v>592</v>
      </c>
      <c r="C718" s="2" t="s">
        <v>593</v>
      </c>
      <c r="D718" s="3">
        <v>155000</v>
      </c>
    </row>
    <row r="719" spans="1:4" ht="26.25" customHeight="1" x14ac:dyDescent="0.4">
      <c r="A719" s="2"/>
      <c r="B719" s="17" t="s">
        <v>594</v>
      </c>
      <c r="C719" s="2" t="s">
        <v>595</v>
      </c>
      <c r="D719" s="3">
        <v>233000</v>
      </c>
    </row>
    <row r="720" spans="1:4" ht="26.25" customHeight="1" x14ac:dyDescent="0.4">
      <c r="A720" s="2"/>
      <c r="B720" s="15" t="s">
        <v>596</v>
      </c>
      <c r="C720" s="16" t="s">
        <v>597</v>
      </c>
      <c r="D720" s="3">
        <v>104000</v>
      </c>
    </row>
    <row r="721" spans="1:4" ht="26.25" customHeight="1" x14ac:dyDescent="0.4">
      <c r="A721" s="2"/>
      <c r="B721" s="19" t="s">
        <v>598</v>
      </c>
      <c r="C721" s="2" t="s">
        <v>599</v>
      </c>
      <c r="D721" s="3">
        <v>25000</v>
      </c>
    </row>
    <row r="722" spans="1:4" ht="26.25" customHeight="1" x14ac:dyDescent="0.4">
      <c r="A722" s="2"/>
      <c r="B722" s="16" t="s">
        <v>600</v>
      </c>
      <c r="C722" s="16" t="s">
        <v>601</v>
      </c>
      <c r="D722" s="3">
        <v>99000</v>
      </c>
    </row>
    <row r="723" spans="1:4" ht="26.25" customHeight="1" x14ac:dyDescent="0.4">
      <c r="A723" s="2"/>
      <c r="B723" s="15" t="s">
        <v>602</v>
      </c>
      <c r="C723" s="2" t="s">
        <v>603</v>
      </c>
      <c r="D723" s="3">
        <v>915000</v>
      </c>
    </row>
    <row r="724" spans="1:4" ht="26.25" customHeight="1" x14ac:dyDescent="0.4">
      <c r="A724" s="2"/>
      <c r="B724" s="17" t="s">
        <v>604</v>
      </c>
      <c r="C724" s="2" t="s">
        <v>605</v>
      </c>
      <c r="D724" s="3">
        <v>89000</v>
      </c>
    </row>
    <row r="725" spans="1:4" ht="26.25" customHeight="1" x14ac:dyDescent="0.4">
      <c r="A725" s="2"/>
      <c r="B725" s="17" t="s">
        <v>606</v>
      </c>
      <c r="C725" s="2" t="s">
        <v>607</v>
      </c>
      <c r="D725" s="3">
        <v>53000</v>
      </c>
    </row>
    <row r="726" spans="1:4" ht="26.25" customHeight="1" x14ac:dyDescent="0.4">
      <c r="A726" s="2"/>
      <c r="B726" s="15" t="s">
        <v>608</v>
      </c>
      <c r="C726" s="16" t="s">
        <v>609</v>
      </c>
      <c r="D726" s="3">
        <v>183000</v>
      </c>
    </row>
    <row r="727" spans="1:4" ht="26.25" customHeight="1" x14ac:dyDescent="0.4">
      <c r="A727" s="2"/>
      <c r="B727" s="16" t="s">
        <v>610</v>
      </c>
      <c r="C727" s="16" t="s">
        <v>611</v>
      </c>
      <c r="D727" s="3">
        <v>94000</v>
      </c>
    </row>
    <row r="728" spans="1:4" ht="26.25" customHeight="1" x14ac:dyDescent="0.4">
      <c r="A728" s="2"/>
      <c r="B728" s="16" t="s">
        <v>612</v>
      </c>
      <c r="C728" s="16" t="s">
        <v>613</v>
      </c>
      <c r="D728" s="3">
        <v>71000</v>
      </c>
    </row>
    <row r="729" spans="1:4" ht="26.25" customHeight="1" x14ac:dyDescent="0.4">
      <c r="A729" s="2"/>
      <c r="B729" s="17" t="s">
        <v>614</v>
      </c>
      <c r="C729" s="2" t="s">
        <v>615</v>
      </c>
      <c r="D729" s="3">
        <v>8500</v>
      </c>
    </row>
    <row r="730" spans="1:4" ht="26.25" customHeight="1" x14ac:dyDescent="0.4">
      <c r="A730" s="2"/>
      <c r="B730" s="28" t="s">
        <v>616</v>
      </c>
      <c r="C730" s="16" t="s">
        <v>617</v>
      </c>
      <c r="D730" s="3">
        <v>25000</v>
      </c>
    </row>
    <row r="731" spans="1:4" ht="26.25" customHeight="1" x14ac:dyDescent="0.4">
      <c r="A731" s="2"/>
      <c r="B731" s="17" t="s">
        <v>618</v>
      </c>
      <c r="C731" s="2" t="s">
        <v>619</v>
      </c>
      <c r="D731" s="3">
        <v>21000</v>
      </c>
    </row>
    <row r="732" spans="1:4" ht="26.25" customHeight="1" x14ac:dyDescent="0.4">
      <c r="A732" s="2"/>
      <c r="B732" s="17" t="s">
        <v>620</v>
      </c>
      <c r="C732" s="2" t="s">
        <v>621</v>
      </c>
      <c r="D732" s="3">
        <v>16000</v>
      </c>
    </row>
    <row r="733" spans="1:4" ht="26.25" customHeight="1" x14ac:dyDescent="0.4">
      <c r="A733" s="2"/>
      <c r="B733" s="15" t="s">
        <v>622</v>
      </c>
      <c r="C733" s="14" t="s">
        <v>623</v>
      </c>
      <c r="D733" s="3">
        <v>15000</v>
      </c>
    </row>
    <row r="734" spans="1:4" ht="26.25" customHeight="1" x14ac:dyDescent="0.4">
      <c r="A734" s="2"/>
      <c r="B734" s="16" t="s">
        <v>61</v>
      </c>
      <c r="C734" s="24" t="s">
        <v>62</v>
      </c>
      <c r="D734" s="3">
        <v>4048000</v>
      </c>
    </row>
    <row r="735" spans="1:4" ht="26.25" customHeight="1" x14ac:dyDescent="0.4">
      <c r="A735" s="2"/>
      <c r="B735" s="17" t="s">
        <v>624</v>
      </c>
      <c r="C735" s="20" t="s">
        <v>625</v>
      </c>
      <c r="D735" s="3">
        <v>2669000</v>
      </c>
    </row>
    <row r="736" spans="1:4" ht="26.25" customHeight="1" x14ac:dyDescent="0.4">
      <c r="A736" s="2"/>
      <c r="B736" s="15" t="s">
        <v>626</v>
      </c>
      <c r="C736" s="2" t="s">
        <v>627</v>
      </c>
      <c r="D736" s="3">
        <v>2999000</v>
      </c>
    </row>
    <row r="737" spans="1:4" ht="26.25" customHeight="1" x14ac:dyDescent="0.4">
      <c r="A737" s="2"/>
      <c r="B737" s="16" t="s">
        <v>628</v>
      </c>
      <c r="C737" s="16" t="s">
        <v>629</v>
      </c>
      <c r="D737" s="3">
        <v>419000</v>
      </c>
    </row>
    <row r="738" spans="1:4" ht="26.25" customHeight="1" x14ac:dyDescent="0.4">
      <c r="A738" s="2"/>
      <c r="B738" s="17" t="s">
        <v>630</v>
      </c>
      <c r="C738" s="2" t="s">
        <v>631</v>
      </c>
      <c r="D738" s="3">
        <v>485000</v>
      </c>
    </row>
    <row r="739" spans="1:4" ht="26.25" customHeight="1" x14ac:dyDescent="0.4">
      <c r="A739" s="2"/>
      <c r="B739" s="16" t="s">
        <v>632</v>
      </c>
      <c r="C739" s="16" t="s">
        <v>633</v>
      </c>
      <c r="D739" s="3">
        <v>375000</v>
      </c>
    </row>
    <row r="740" spans="1:4" ht="26.25" customHeight="1" x14ac:dyDescent="0.4">
      <c r="A740" s="2"/>
      <c r="B740" s="15" t="s">
        <v>634</v>
      </c>
      <c r="C740" s="16" t="s">
        <v>635</v>
      </c>
      <c r="D740" s="3">
        <v>869000</v>
      </c>
    </row>
    <row r="741" spans="1:4" ht="26.25" customHeight="1" x14ac:dyDescent="0.4">
      <c r="A741" s="2"/>
      <c r="B741" s="15" t="s">
        <v>636</v>
      </c>
      <c r="C741" s="2" t="s">
        <v>637</v>
      </c>
      <c r="D741" s="3">
        <v>696000</v>
      </c>
    </row>
    <row r="742" spans="1:4" ht="26.25" customHeight="1" x14ac:dyDescent="0.4">
      <c r="A742" s="2"/>
      <c r="B742" s="15" t="s">
        <v>638</v>
      </c>
      <c r="C742" s="2" t="s">
        <v>639</v>
      </c>
      <c r="D742" s="3">
        <v>397000</v>
      </c>
    </row>
    <row r="743" spans="1:4" ht="26.25" customHeight="1" x14ac:dyDescent="0.4">
      <c r="A743" s="2"/>
      <c r="B743" s="16" t="s">
        <v>640</v>
      </c>
      <c r="C743" s="16" t="s">
        <v>641</v>
      </c>
      <c r="D743" s="3">
        <v>3415000</v>
      </c>
    </row>
    <row r="744" spans="1:4" ht="26.25" customHeight="1" x14ac:dyDescent="0.4">
      <c r="A744" s="2"/>
      <c r="B744" s="15" t="s">
        <v>642</v>
      </c>
      <c r="C744" s="16" t="s">
        <v>643</v>
      </c>
      <c r="D744" s="3">
        <v>365000</v>
      </c>
    </row>
    <row r="745" spans="1:4" ht="26.25" customHeight="1" x14ac:dyDescent="0.4">
      <c r="A745" s="2"/>
      <c r="B745" s="17" t="s">
        <v>644</v>
      </c>
      <c r="C745" s="2" t="s">
        <v>645</v>
      </c>
      <c r="D745" s="3">
        <v>765000</v>
      </c>
    </row>
    <row r="746" spans="1:4" ht="26.25" customHeight="1" x14ac:dyDescent="0.4">
      <c r="A746" s="2"/>
      <c r="B746" s="16" t="s">
        <v>646</v>
      </c>
      <c r="C746" s="16" t="s">
        <v>647</v>
      </c>
      <c r="D746" s="3">
        <v>51000</v>
      </c>
    </row>
    <row r="747" spans="1:4" ht="26.25" customHeight="1" x14ac:dyDescent="0.4">
      <c r="A747" s="2"/>
      <c r="B747" s="17" t="s">
        <v>63</v>
      </c>
      <c r="C747" s="2" t="s">
        <v>64</v>
      </c>
      <c r="D747" s="3">
        <v>81000</v>
      </c>
    </row>
    <row r="748" spans="1:4" ht="26.25" customHeight="1" x14ac:dyDescent="0.4">
      <c r="A748" s="2"/>
      <c r="B748" s="15" t="s">
        <v>65</v>
      </c>
      <c r="C748" s="2" t="s">
        <v>66</v>
      </c>
      <c r="D748" s="3">
        <v>233000</v>
      </c>
    </row>
    <row r="749" spans="1:4" ht="26.25" customHeight="1" x14ac:dyDescent="0.4">
      <c r="A749" s="2"/>
      <c r="B749" s="16" t="s">
        <v>648</v>
      </c>
      <c r="C749" s="16" t="s">
        <v>649</v>
      </c>
      <c r="D749" s="3">
        <v>173000</v>
      </c>
    </row>
    <row r="750" spans="1:4" ht="26.25" customHeight="1" x14ac:dyDescent="0.4">
      <c r="A750" s="2"/>
      <c r="B750" s="17" t="s">
        <v>650</v>
      </c>
      <c r="C750" s="2" t="s">
        <v>651</v>
      </c>
      <c r="D750" s="3">
        <v>255000</v>
      </c>
    </row>
    <row r="751" spans="1:4" ht="26.25" customHeight="1" x14ac:dyDescent="0.4">
      <c r="A751" s="2"/>
      <c r="B751" s="15" t="s">
        <v>652</v>
      </c>
      <c r="C751" s="16" t="s">
        <v>653</v>
      </c>
      <c r="D751" s="3">
        <v>12000</v>
      </c>
    </row>
    <row r="752" spans="1:4" ht="26.25" customHeight="1" x14ac:dyDescent="0.4">
      <c r="A752" s="2"/>
      <c r="B752" s="15" t="s">
        <v>67</v>
      </c>
      <c r="C752" s="16" t="s">
        <v>68</v>
      </c>
      <c r="D752" s="3">
        <v>73000</v>
      </c>
    </row>
    <row r="753" spans="1:4" ht="26.25" customHeight="1" x14ac:dyDescent="0.4">
      <c r="A753" s="2"/>
      <c r="B753" s="21" t="s">
        <v>654</v>
      </c>
      <c r="C753" s="16" t="s">
        <v>655</v>
      </c>
      <c r="D753" s="3">
        <v>172000</v>
      </c>
    </row>
    <row r="754" spans="1:4" ht="26.25" customHeight="1" x14ac:dyDescent="0.4">
      <c r="A754" s="2"/>
      <c r="B754" s="21" t="s">
        <v>656</v>
      </c>
      <c r="C754" s="16" t="s">
        <v>657</v>
      </c>
      <c r="D754" s="3">
        <v>155000</v>
      </c>
    </row>
    <row r="755" spans="1:4" ht="26.25" customHeight="1" x14ac:dyDescent="0.4">
      <c r="A755" s="2"/>
      <c r="B755" s="16" t="s">
        <v>658</v>
      </c>
      <c r="C755" s="16" t="s">
        <v>659</v>
      </c>
      <c r="D755" s="3">
        <v>1070000</v>
      </c>
    </row>
    <row r="756" spans="1:4" ht="26.25" customHeight="1" x14ac:dyDescent="0.4">
      <c r="A756" s="2"/>
      <c r="B756" s="17" t="s">
        <v>660</v>
      </c>
      <c r="C756" s="2" t="s">
        <v>661</v>
      </c>
      <c r="D756" s="3">
        <v>765000</v>
      </c>
    </row>
    <row r="757" spans="1:4" ht="26.25" customHeight="1" x14ac:dyDescent="0.4">
      <c r="A757" s="2"/>
      <c r="B757" s="17" t="s">
        <v>662</v>
      </c>
      <c r="C757" s="16" t="s">
        <v>663</v>
      </c>
      <c r="D757" s="3">
        <v>271000</v>
      </c>
    </row>
    <row r="758" spans="1:4" ht="26.25" customHeight="1" x14ac:dyDescent="0.4">
      <c r="A758" s="2"/>
      <c r="B758" s="15" t="s">
        <v>664</v>
      </c>
      <c r="C758" s="35" t="s">
        <v>665</v>
      </c>
      <c r="D758" s="3">
        <v>186000</v>
      </c>
    </row>
    <row r="759" spans="1:4" ht="26.25" customHeight="1" x14ac:dyDescent="0.4">
      <c r="A759" s="2"/>
      <c r="B759" s="15" t="s">
        <v>666</v>
      </c>
      <c r="C759" s="16" t="s">
        <v>667</v>
      </c>
      <c r="D759" s="3">
        <v>174000</v>
      </c>
    </row>
    <row r="760" spans="1:4" ht="26.25" customHeight="1" x14ac:dyDescent="0.4">
      <c r="A760" s="2"/>
      <c r="B760" s="16" t="s">
        <v>668</v>
      </c>
      <c r="C760" s="16" t="s">
        <v>669</v>
      </c>
      <c r="D760" s="3">
        <v>464000</v>
      </c>
    </row>
    <row r="761" spans="1:4" ht="26.25" customHeight="1" x14ac:dyDescent="0.4">
      <c r="A761" s="2"/>
      <c r="B761" s="16" t="s">
        <v>670</v>
      </c>
      <c r="C761" s="32" t="s">
        <v>671</v>
      </c>
      <c r="D761" s="3">
        <v>199000</v>
      </c>
    </row>
    <row r="762" spans="1:4" ht="26.25" customHeight="1" x14ac:dyDescent="0.4">
      <c r="A762" s="2"/>
      <c r="B762" s="17" t="s">
        <v>672</v>
      </c>
      <c r="C762" s="2" t="s">
        <v>673</v>
      </c>
      <c r="D762" s="3">
        <v>307000</v>
      </c>
    </row>
    <row r="763" spans="1:4" ht="26.25" customHeight="1" x14ac:dyDescent="0.4">
      <c r="A763" s="2"/>
      <c r="B763" s="17" t="s">
        <v>674</v>
      </c>
      <c r="C763" s="2" t="s">
        <v>675</v>
      </c>
      <c r="D763" s="3">
        <v>426000</v>
      </c>
    </row>
    <row r="764" spans="1:4" ht="26.25" customHeight="1" x14ac:dyDescent="0.4">
      <c r="A764" s="2"/>
      <c r="B764" s="19" t="s">
        <v>676</v>
      </c>
      <c r="C764" s="14" t="s">
        <v>677</v>
      </c>
      <c r="D764" s="3">
        <v>455000</v>
      </c>
    </row>
    <row r="765" spans="1:4" ht="26.25" customHeight="1" x14ac:dyDescent="0.4">
      <c r="A765" s="2"/>
      <c r="B765" s="17" t="s">
        <v>678</v>
      </c>
      <c r="C765" s="2" t="s">
        <v>679</v>
      </c>
      <c r="D765" s="3">
        <v>210000</v>
      </c>
    </row>
    <row r="766" spans="1:4" ht="26.25" customHeight="1" x14ac:dyDescent="0.4">
      <c r="A766" s="2"/>
      <c r="B766" s="15" t="s">
        <v>680</v>
      </c>
      <c r="C766" s="16" t="s">
        <v>681</v>
      </c>
      <c r="D766" s="3">
        <v>89000</v>
      </c>
    </row>
    <row r="767" spans="1:4" ht="26.25" customHeight="1" x14ac:dyDescent="0.4">
      <c r="A767" s="2"/>
      <c r="B767" s="15" t="s">
        <v>682</v>
      </c>
      <c r="C767" s="32" t="s">
        <v>683</v>
      </c>
      <c r="D767" s="3">
        <v>140000</v>
      </c>
    </row>
    <row r="768" spans="1:4" ht="26.25" customHeight="1" x14ac:dyDescent="0.4">
      <c r="A768" s="2"/>
      <c r="B768" s="15" t="s">
        <v>684</v>
      </c>
      <c r="C768" s="16" t="s">
        <v>685</v>
      </c>
      <c r="D768" s="3">
        <v>1820000</v>
      </c>
    </row>
    <row r="769" spans="1:4" ht="26.25" customHeight="1" x14ac:dyDescent="0.4">
      <c r="A769" s="2"/>
      <c r="B769" s="15" t="s">
        <v>686</v>
      </c>
      <c r="C769" s="33" t="s">
        <v>687</v>
      </c>
      <c r="D769" s="3">
        <v>1774000</v>
      </c>
    </row>
    <row r="770" spans="1:4" ht="26.25" customHeight="1" x14ac:dyDescent="0.4">
      <c r="A770" s="2"/>
      <c r="B770" s="15" t="s">
        <v>69</v>
      </c>
      <c r="C770" s="14" t="s">
        <v>70</v>
      </c>
      <c r="D770" s="3">
        <v>684000</v>
      </c>
    </row>
    <row r="771" spans="1:4" ht="26.25" customHeight="1" x14ac:dyDescent="0.4">
      <c r="A771" s="2"/>
      <c r="B771" s="17" t="s">
        <v>688</v>
      </c>
      <c r="C771" s="33" t="s">
        <v>689</v>
      </c>
      <c r="D771" s="3">
        <v>41000</v>
      </c>
    </row>
    <row r="772" spans="1:4" ht="26.25" customHeight="1" x14ac:dyDescent="0.4">
      <c r="A772" s="2"/>
      <c r="B772" s="17" t="s">
        <v>690</v>
      </c>
      <c r="C772" s="33" t="s">
        <v>691</v>
      </c>
      <c r="D772" s="3">
        <v>41000</v>
      </c>
    </row>
    <row r="773" spans="1:4" ht="26.25" customHeight="1" x14ac:dyDescent="0.4">
      <c r="A773" s="2"/>
      <c r="B773" s="15" t="s">
        <v>692</v>
      </c>
      <c r="C773" s="16" t="s">
        <v>693</v>
      </c>
      <c r="D773" s="3">
        <v>1191000</v>
      </c>
    </row>
    <row r="774" spans="1:4" ht="26.25" customHeight="1" x14ac:dyDescent="0.4">
      <c r="A774" s="2"/>
      <c r="B774" s="15" t="s">
        <v>694</v>
      </c>
      <c r="C774" s="14" t="s">
        <v>695</v>
      </c>
      <c r="D774" s="3">
        <v>58000</v>
      </c>
    </row>
    <row r="775" spans="1:4" ht="26.25" customHeight="1" x14ac:dyDescent="0.4">
      <c r="A775" s="2"/>
      <c r="B775" s="17" t="s">
        <v>71</v>
      </c>
      <c r="C775" s="33" t="s">
        <v>72</v>
      </c>
      <c r="D775" s="3">
        <v>508000</v>
      </c>
    </row>
    <row r="776" spans="1:4" ht="26.25" customHeight="1" x14ac:dyDescent="0.4">
      <c r="A776" s="2"/>
      <c r="B776" s="15" t="s">
        <v>696</v>
      </c>
      <c r="C776" s="16" t="s">
        <v>697</v>
      </c>
      <c r="D776" s="3">
        <v>177000</v>
      </c>
    </row>
    <row r="777" spans="1:4" ht="26.25" customHeight="1" x14ac:dyDescent="0.4">
      <c r="A777" s="2"/>
      <c r="B777" s="15" t="s">
        <v>698</v>
      </c>
      <c r="C777" s="16" t="s">
        <v>699</v>
      </c>
      <c r="D777" s="3">
        <v>418000</v>
      </c>
    </row>
    <row r="778" spans="1:4" ht="26.25" customHeight="1" x14ac:dyDescent="0.4">
      <c r="A778" s="2"/>
      <c r="B778" s="18" t="s">
        <v>700</v>
      </c>
      <c r="C778" s="16" t="s">
        <v>701</v>
      </c>
      <c r="D778" s="3">
        <v>497000</v>
      </c>
    </row>
    <row r="779" spans="1:4" ht="26.25" customHeight="1" x14ac:dyDescent="0.4">
      <c r="A779" s="2"/>
      <c r="B779" s="15" t="s">
        <v>702</v>
      </c>
      <c r="C779" s="14" t="s">
        <v>703</v>
      </c>
      <c r="D779" s="3">
        <v>38000</v>
      </c>
    </row>
    <row r="780" spans="1:4" ht="26.25" customHeight="1" x14ac:dyDescent="0.4">
      <c r="A780" s="2"/>
      <c r="B780" s="16" t="s">
        <v>704</v>
      </c>
      <c r="C780" s="16" t="s">
        <v>705</v>
      </c>
      <c r="D780" s="3">
        <v>860000</v>
      </c>
    </row>
    <row r="781" spans="1:4" ht="26.25" customHeight="1" x14ac:dyDescent="0.4">
      <c r="A781" s="2"/>
      <c r="B781" s="21" t="s">
        <v>73</v>
      </c>
      <c r="C781" s="16" t="s">
        <v>74</v>
      </c>
      <c r="D781" s="3">
        <v>497000</v>
      </c>
    </row>
    <row r="782" spans="1:4" ht="26.25" customHeight="1" x14ac:dyDescent="0.4">
      <c r="A782" s="2"/>
      <c r="B782" s="16" t="s">
        <v>75</v>
      </c>
      <c r="C782" s="2" t="s">
        <v>76</v>
      </c>
      <c r="D782" s="3">
        <v>321000</v>
      </c>
    </row>
    <row r="783" spans="1:4" ht="26.25" customHeight="1" x14ac:dyDescent="0.4">
      <c r="A783" s="2"/>
      <c r="B783" s="16" t="s">
        <v>706</v>
      </c>
      <c r="C783" s="16" t="s">
        <v>707</v>
      </c>
      <c r="D783" s="3">
        <v>431000</v>
      </c>
    </row>
    <row r="784" spans="1:4" ht="26.25" customHeight="1" x14ac:dyDescent="0.4">
      <c r="A784" s="2"/>
      <c r="B784" s="15" t="s">
        <v>708</v>
      </c>
      <c r="C784" s="16" t="s">
        <v>709</v>
      </c>
      <c r="D784" s="3">
        <v>961000</v>
      </c>
    </row>
    <row r="785" spans="1:4" ht="26.25" customHeight="1" x14ac:dyDescent="0.4">
      <c r="A785" s="2"/>
      <c r="B785" s="16" t="s">
        <v>710</v>
      </c>
      <c r="C785" s="24" t="s">
        <v>711</v>
      </c>
      <c r="D785" s="3">
        <v>172000</v>
      </c>
    </row>
    <row r="786" spans="1:4" ht="26.25" customHeight="1" x14ac:dyDescent="0.4">
      <c r="A786" s="2"/>
      <c r="B786" s="15" t="s">
        <v>712</v>
      </c>
      <c r="C786" s="16" t="s">
        <v>713</v>
      </c>
      <c r="D786" s="3">
        <v>383000</v>
      </c>
    </row>
    <row r="787" spans="1:4" ht="26.25" customHeight="1" x14ac:dyDescent="0.4">
      <c r="A787" s="2"/>
      <c r="B787" s="15" t="s">
        <v>714</v>
      </c>
      <c r="C787" s="16" t="s">
        <v>715</v>
      </c>
      <c r="D787" s="3">
        <v>519000</v>
      </c>
    </row>
    <row r="788" spans="1:4" ht="26.25" customHeight="1" x14ac:dyDescent="0.4">
      <c r="A788" s="2"/>
      <c r="B788" s="17" t="s">
        <v>716</v>
      </c>
      <c r="C788" s="2" t="s">
        <v>717</v>
      </c>
      <c r="D788" s="3">
        <v>1600000</v>
      </c>
    </row>
    <row r="789" spans="1:4" ht="26.25" customHeight="1" x14ac:dyDescent="0.4">
      <c r="A789" s="2"/>
      <c r="B789" s="21" t="s">
        <v>718</v>
      </c>
      <c r="C789" s="16" t="s">
        <v>719</v>
      </c>
      <c r="D789" s="3">
        <v>464000</v>
      </c>
    </row>
    <row r="790" spans="1:4" ht="26.25" customHeight="1" x14ac:dyDescent="0.4">
      <c r="A790" s="2"/>
      <c r="B790" s="15" t="s">
        <v>720</v>
      </c>
      <c r="C790" s="14" t="s">
        <v>721</v>
      </c>
      <c r="D790" s="3">
        <v>19000</v>
      </c>
    </row>
    <row r="791" spans="1:4" ht="26.25" customHeight="1" x14ac:dyDescent="0.4">
      <c r="A791" s="2"/>
      <c r="B791" s="15" t="s">
        <v>722</v>
      </c>
      <c r="C791" s="14" t="s">
        <v>723</v>
      </c>
      <c r="D791" s="3">
        <v>89000</v>
      </c>
    </row>
    <row r="792" spans="1:4" ht="26.25" customHeight="1" x14ac:dyDescent="0.4">
      <c r="A792" s="2"/>
      <c r="B792" s="16" t="s">
        <v>724</v>
      </c>
      <c r="C792" s="14" t="s">
        <v>725</v>
      </c>
      <c r="D792" s="3">
        <v>61000</v>
      </c>
    </row>
    <row r="793" spans="1:4" ht="26.25" customHeight="1" x14ac:dyDescent="0.4">
      <c r="A793" s="2"/>
      <c r="B793" s="15" t="s">
        <v>726</v>
      </c>
      <c r="C793" s="16" t="s">
        <v>727</v>
      </c>
      <c r="D793" s="3">
        <v>22000</v>
      </c>
    </row>
    <row r="794" spans="1:4" ht="26.25" customHeight="1" x14ac:dyDescent="0.4">
      <c r="A794" s="2"/>
      <c r="B794" s="17" t="s">
        <v>728</v>
      </c>
      <c r="C794" s="2" t="s">
        <v>729</v>
      </c>
      <c r="D794" s="3">
        <v>277000</v>
      </c>
    </row>
    <row r="795" spans="1:4" ht="26.25" customHeight="1" x14ac:dyDescent="0.4">
      <c r="A795" s="2"/>
      <c r="B795" s="15" t="s">
        <v>730</v>
      </c>
      <c r="C795" s="16" t="s">
        <v>731</v>
      </c>
      <c r="D795" s="3">
        <v>1423000</v>
      </c>
    </row>
    <row r="796" spans="1:4" ht="26.25" customHeight="1" x14ac:dyDescent="0.4">
      <c r="A796" s="2"/>
      <c r="B796" s="24" t="s">
        <v>732</v>
      </c>
      <c r="C796" s="24" t="s">
        <v>733</v>
      </c>
      <c r="D796" s="3">
        <v>574000</v>
      </c>
    </row>
    <row r="797" spans="1:4" ht="26.25" customHeight="1" x14ac:dyDescent="0.4">
      <c r="A797" s="2"/>
      <c r="B797" s="29" t="s">
        <v>734</v>
      </c>
      <c r="C797" s="29" t="s">
        <v>735</v>
      </c>
      <c r="D797" s="3">
        <v>2709000</v>
      </c>
    </row>
    <row r="798" spans="1:4" ht="26.25" customHeight="1" x14ac:dyDescent="0.4">
      <c r="A798" s="2"/>
      <c r="B798" s="15" t="s">
        <v>736</v>
      </c>
      <c r="C798" s="2" t="s">
        <v>737</v>
      </c>
      <c r="D798" s="3">
        <v>177000</v>
      </c>
    </row>
    <row r="799" spans="1:4" ht="26.25" customHeight="1" x14ac:dyDescent="0.4">
      <c r="A799" s="2"/>
      <c r="B799" s="23" t="s">
        <v>77</v>
      </c>
      <c r="C799" s="23" t="s">
        <v>78</v>
      </c>
      <c r="D799" s="3">
        <v>2142000</v>
      </c>
    </row>
    <row r="800" spans="1:4" ht="26.25" customHeight="1" x14ac:dyDescent="0.4">
      <c r="A800" s="2"/>
      <c r="B800" s="29" t="s">
        <v>79</v>
      </c>
      <c r="C800" s="29" t="s">
        <v>80</v>
      </c>
      <c r="D800" s="3">
        <v>2548000</v>
      </c>
    </row>
    <row r="801" spans="1:4" ht="26.25" customHeight="1" x14ac:dyDescent="0.4">
      <c r="A801" s="2"/>
      <c r="B801" s="29" t="s">
        <v>738</v>
      </c>
      <c r="C801" s="29" t="s">
        <v>739</v>
      </c>
      <c r="D801" s="3">
        <v>397000</v>
      </c>
    </row>
    <row r="802" spans="1:4" ht="26.25" customHeight="1" x14ac:dyDescent="0.4">
      <c r="A802" s="2"/>
      <c r="B802" s="15" t="s">
        <v>740</v>
      </c>
      <c r="C802" s="2" t="s">
        <v>741</v>
      </c>
      <c r="D802" s="3">
        <v>850000</v>
      </c>
    </row>
    <row r="803" spans="1:4" ht="26.25" customHeight="1" x14ac:dyDescent="0.4">
      <c r="A803" s="2"/>
      <c r="B803" s="29" t="s">
        <v>742</v>
      </c>
      <c r="C803" s="29" t="s">
        <v>743</v>
      </c>
      <c r="D803" s="3">
        <v>397000</v>
      </c>
    </row>
    <row r="804" spans="1:4" ht="26.25" customHeight="1" x14ac:dyDescent="0.4">
      <c r="A804" s="2"/>
      <c r="B804" s="16" t="s">
        <v>744</v>
      </c>
      <c r="C804" s="16" t="s">
        <v>745</v>
      </c>
      <c r="D804" s="3">
        <v>440000</v>
      </c>
    </row>
    <row r="805" spans="1:4" ht="26.25" customHeight="1" x14ac:dyDescent="0.4">
      <c r="A805" s="2"/>
      <c r="B805" s="30" t="s">
        <v>746</v>
      </c>
      <c r="C805" s="16" t="s">
        <v>747</v>
      </c>
      <c r="D805" s="3">
        <v>409000</v>
      </c>
    </row>
    <row r="806" spans="1:4" ht="26.25" customHeight="1" x14ac:dyDescent="0.4">
      <c r="A806" s="2"/>
      <c r="B806" s="30" t="s">
        <v>748</v>
      </c>
      <c r="C806" s="16" t="s">
        <v>749</v>
      </c>
      <c r="D806" s="3">
        <v>441000</v>
      </c>
    </row>
    <row r="807" spans="1:4" ht="26.25" customHeight="1" x14ac:dyDescent="0.4">
      <c r="A807" s="2"/>
      <c r="B807" s="16" t="s">
        <v>750</v>
      </c>
      <c r="C807" s="16" t="s">
        <v>751</v>
      </c>
      <c r="D807" s="3">
        <v>440000</v>
      </c>
    </row>
    <row r="808" spans="1:4" ht="26.25" customHeight="1" x14ac:dyDescent="0.4">
      <c r="A808" s="2"/>
      <c r="B808" s="15" t="s">
        <v>752</v>
      </c>
      <c r="C808" s="2" t="s">
        <v>753</v>
      </c>
      <c r="D808" s="3">
        <v>280000</v>
      </c>
    </row>
    <row r="809" spans="1:4" ht="26.25" customHeight="1" x14ac:dyDescent="0.4">
      <c r="A809" s="2"/>
      <c r="B809" s="16" t="s">
        <v>754</v>
      </c>
      <c r="C809" s="2" t="s">
        <v>755</v>
      </c>
      <c r="D809" s="3">
        <v>243000</v>
      </c>
    </row>
    <row r="810" spans="1:4" ht="26.25" customHeight="1" x14ac:dyDescent="0.4">
      <c r="A810" s="2"/>
      <c r="B810" s="16" t="s">
        <v>756</v>
      </c>
      <c r="C810" s="16" t="s">
        <v>757</v>
      </c>
      <c r="D810" s="3">
        <v>452000</v>
      </c>
    </row>
    <row r="811" spans="1:4" ht="26.25" customHeight="1" x14ac:dyDescent="0.4">
      <c r="A811" s="2"/>
      <c r="B811" s="16" t="s">
        <v>758</v>
      </c>
      <c r="C811" s="16" t="s">
        <v>759</v>
      </c>
      <c r="D811" s="3">
        <v>440000</v>
      </c>
    </row>
    <row r="812" spans="1:4" ht="26.25" customHeight="1" x14ac:dyDescent="0.4">
      <c r="A812" s="2"/>
      <c r="B812" s="23" t="s">
        <v>81</v>
      </c>
      <c r="C812" s="23" t="s">
        <v>82</v>
      </c>
      <c r="D812" s="3">
        <v>951000</v>
      </c>
    </row>
    <row r="813" spans="1:4" ht="26.25" customHeight="1" x14ac:dyDescent="0.4">
      <c r="A813" s="2"/>
      <c r="B813" s="16" t="s">
        <v>760</v>
      </c>
      <c r="C813" s="16" t="s">
        <v>761</v>
      </c>
      <c r="D813" s="3">
        <v>464000</v>
      </c>
    </row>
    <row r="814" spans="1:4" ht="26.25" customHeight="1" x14ac:dyDescent="0.4">
      <c r="A814" s="2"/>
      <c r="B814" s="23" t="s">
        <v>83</v>
      </c>
      <c r="C814" s="23" t="s">
        <v>84</v>
      </c>
      <c r="D814" s="3">
        <v>986000</v>
      </c>
    </row>
    <row r="815" spans="1:4" ht="26.25" customHeight="1" x14ac:dyDescent="0.4">
      <c r="A815" s="2"/>
      <c r="B815" s="29" t="s">
        <v>762</v>
      </c>
      <c r="C815" s="29" t="s">
        <v>763</v>
      </c>
      <c r="D815" s="3">
        <v>1213000</v>
      </c>
    </row>
    <row r="816" spans="1:4" ht="26.25" customHeight="1" x14ac:dyDescent="0.4">
      <c r="A816" s="2"/>
      <c r="B816" s="24" t="s">
        <v>85</v>
      </c>
      <c r="C816" s="24" t="s">
        <v>86</v>
      </c>
      <c r="D816" s="3">
        <v>365000</v>
      </c>
    </row>
    <row r="817" spans="1:4" ht="26.25" customHeight="1" x14ac:dyDescent="0.4">
      <c r="A817" s="2"/>
      <c r="B817" s="24" t="s">
        <v>87</v>
      </c>
      <c r="C817" s="24" t="s">
        <v>88</v>
      </c>
      <c r="D817" s="3">
        <v>287000</v>
      </c>
    </row>
    <row r="818" spans="1:4" ht="26.25" customHeight="1" x14ac:dyDescent="0.4">
      <c r="A818" s="2"/>
      <c r="B818" s="25" t="s">
        <v>764</v>
      </c>
      <c r="C818" s="16" t="s">
        <v>765</v>
      </c>
      <c r="D818" s="3">
        <v>133000</v>
      </c>
    </row>
    <row r="819" spans="1:4" ht="26.25" customHeight="1" x14ac:dyDescent="0.4">
      <c r="A819" s="2"/>
      <c r="B819" s="17" t="s">
        <v>766</v>
      </c>
      <c r="C819" s="2" t="s">
        <v>767</v>
      </c>
      <c r="D819" s="3">
        <v>23000</v>
      </c>
    </row>
    <row r="820" spans="1:4" ht="26.25" customHeight="1" x14ac:dyDescent="0.4">
      <c r="A820" s="2"/>
      <c r="B820" s="29" t="s">
        <v>768</v>
      </c>
      <c r="C820" s="29" t="s">
        <v>769</v>
      </c>
      <c r="D820" s="3">
        <v>1103000</v>
      </c>
    </row>
    <row r="821" spans="1:4" ht="26.25" customHeight="1" x14ac:dyDescent="0.4">
      <c r="A821" s="2"/>
      <c r="B821" s="19" t="s">
        <v>770</v>
      </c>
      <c r="C821" s="2" t="s">
        <v>771</v>
      </c>
      <c r="D821" s="3">
        <v>22000</v>
      </c>
    </row>
    <row r="822" spans="1:4" ht="26.25" customHeight="1" x14ac:dyDescent="0.4">
      <c r="A822" s="2"/>
      <c r="B822" s="19" t="s">
        <v>931</v>
      </c>
      <c r="C822" s="2" t="s">
        <v>772</v>
      </c>
      <c r="D822" s="3">
        <v>14000</v>
      </c>
    </row>
    <row r="823" spans="1:4" ht="26.25" customHeight="1" x14ac:dyDescent="0.4">
      <c r="A823" s="2"/>
      <c r="B823" s="16" t="s">
        <v>773</v>
      </c>
      <c r="C823" s="24" t="s">
        <v>774</v>
      </c>
      <c r="D823" s="3">
        <v>12000</v>
      </c>
    </row>
    <row r="824" spans="1:4" ht="26.25" customHeight="1" x14ac:dyDescent="0.4">
      <c r="A824" s="2"/>
      <c r="B824" s="17" t="s">
        <v>775</v>
      </c>
      <c r="C824" s="2" t="s">
        <v>776</v>
      </c>
      <c r="D824" s="3">
        <v>15000</v>
      </c>
    </row>
    <row r="825" spans="1:4" ht="26.25" customHeight="1" x14ac:dyDescent="0.4">
      <c r="A825" s="2"/>
      <c r="B825" s="15" t="s">
        <v>777</v>
      </c>
      <c r="C825" s="2" t="s">
        <v>778</v>
      </c>
      <c r="D825" s="3">
        <v>21000</v>
      </c>
    </row>
    <row r="826" spans="1:4" ht="26.25" customHeight="1" x14ac:dyDescent="0.4">
      <c r="A826" s="2"/>
      <c r="B826" s="15" t="s">
        <v>779</v>
      </c>
      <c r="C826" s="2" t="s">
        <v>780</v>
      </c>
      <c r="D826" s="3">
        <v>20000</v>
      </c>
    </row>
    <row r="827" spans="1:4" ht="26.25" customHeight="1" x14ac:dyDescent="0.4">
      <c r="A827" s="2"/>
      <c r="B827" s="15" t="s">
        <v>781</v>
      </c>
      <c r="C827" s="2" t="s">
        <v>782</v>
      </c>
      <c r="D827" s="3">
        <v>20000</v>
      </c>
    </row>
    <row r="828" spans="1:4" ht="26.25" customHeight="1" x14ac:dyDescent="0.4">
      <c r="A828" s="2"/>
      <c r="B828" s="15" t="s">
        <v>783</v>
      </c>
      <c r="C828" s="14" t="s">
        <v>784</v>
      </c>
      <c r="D828" s="3">
        <v>7400</v>
      </c>
    </row>
    <row r="829" spans="1:4" ht="26.25" customHeight="1" x14ac:dyDescent="0.4">
      <c r="A829" s="2"/>
      <c r="B829" s="15" t="s">
        <v>785</v>
      </c>
      <c r="C829" s="14" t="s">
        <v>786</v>
      </c>
      <c r="D829" s="3">
        <v>5300</v>
      </c>
    </row>
    <row r="830" spans="1:4" ht="26.25" customHeight="1" x14ac:dyDescent="0.4">
      <c r="A830" s="2"/>
      <c r="B830" s="15" t="s">
        <v>787</v>
      </c>
      <c r="C830" s="16" t="s">
        <v>788</v>
      </c>
      <c r="D830" s="3">
        <v>6300</v>
      </c>
    </row>
    <row r="831" spans="1:4" ht="26.25" customHeight="1" x14ac:dyDescent="0.4">
      <c r="A831" s="2"/>
      <c r="B831" s="15" t="s">
        <v>789</v>
      </c>
      <c r="C831" s="14" t="s">
        <v>790</v>
      </c>
      <c r="D831" s="3">
        <v>828000</v>
      </c>
    </row>
    <row r="832" spans="1:4" ht="26.25" customHeight="1" x14ac:dyDescent="0.4">
      <c r="A832" s="2"/>
      <c r="B832" s="16" t="s">
        <v>791</v>
      </c>
      <c r="C832" s="16" t="s">
        <v>792</v>
      </c>
      <c r="D832" s="3">
        <v>441000</v>
      </c>
    </row>
    <row r="833" spans="1:4" ht="26.25" customHeight="1" x14ac:dyDescent="0.4">
      <c r="A833" s="2"/>
      <c r="B833" s="17" t="s">
        <v>793</v>
      </c>
      <c r="C833" s="2" t="s">
        <v>794</v>
      </c>
      <c r="D833" s="3">
        <v>265000</v>
      </c>
    </row>
    <row r="834" spans="1:4" ht="26.25" customHeight="1" x14ac:dyDescent="0.4">
      <c r="A834" s="2"/>
      <c r="B834" s="15" t="s">
        <v>795</v>
      </c>
      <c r="C834" s="2" t="s">
        <v>796</v>
      </c>
      <c r="D834" s="3">
        <v>740000</v>
      </c>
    </row>
    <row r="835" spans="1:4" ht="26.25" customHeight="1" x14ac:dyDescent="0.4">
      <c r="A835" s="2"/>
      <c r="B835" s="12" t="s">
        <v>797</v>
      </c>
      <c r="C835" s="16" t="s">
        <v>798</v>
      </c>
      <c r="D835" s="3">
        <v>1055000</v>
      </c>
    </row>
    <row r="836" spans="1:4" ht="26.25" customHeight="1" x14ac:dyDescent="0.4">
      <c r="A836" s="2"/>
      <c r="B836" s="16" t="s">
        <v>799</v>
      </c>
      <c r="C836" s="16" t="s">
        <v>800</v>
      </c>
      <c r="D836" s="3">
        <v>1688000</v>
      </c>
    </row>
    <row r="837" spans="1:4" ht="26.25" customHeight="1" x14ac:dyDescent="0.4">
      <c r="A837" s="2"/>
      <c r="B837" s="12" t="s">
        <v>801</v>
      </c>
      <c r="C837" s="16" t="s">
        <v>802</v>
      </c>
      <c r="D837" s="3">
        <v>1565000</v>
      </c>
    </row>
    <row r="838" spans="1:4" ht="26.25" customHeight="1" x14ac:dyDescent="0.4">
      <c r="A838" s="2"/>
      <c r="B838" s="12" t="s">
        <v>803</v>
      </c>
      <c r="C838" s="16" t="s">
        <v>804</v>
      </c>
      <c r="D838" s="3">
        <v>899000</v>
      </c>
    </row>
    <row r="839" spans="1:4" ht="26.25" customHeight="1" x14ac:dyDescent="0.4">
      <c r="A839" s="2"/>
      <c r="B839" s="12" t="s">
        <v>805</v>
      </c>
      <c r="C839" s="16" t="s">
        <v>806</v>
      </c>
      <c r="D839" s="3">
        <v>772000</v>
      </c>
    </row>
    <row r="840" spans="1:4" ht="26.25" customHeight="1" x14ac:dyDescent="0.4">
      <c r="A840" s="2"/>
      <c r="B840" s="12" t="s">
        <v>807</v>
      </c>
      <c r="C840" s="29" t="s">
        <v>808</v>
      </c>
      <c r="D840" s="3">
        <v>2646000</v>
      </c>
    </row>
    <row r="841" spans="1:4" ht="26.25" customHeight="1" x14ac:dyDescent="0.4">
      <c r="A841" s="2"/>
      <c r="B841" s="21" t="s">
        <v>809</v>
      </c>
      <c r="C841" s="16" t="s">
        <v>810</v>
      </c>
      <c r="D841" s="3">
        <v>811000</v>
      </c>
    </row>
    <row r="842" spans="1:4" ht="26.25" customHeight="1" x14ac:dyDescent="0.4">
      <c r="A842" s="2"/>
      <c r="B842" s="17" t="s">
        <v>811</v>
      </c>
      <c r="C842" s="2" t="s">
        <v>812</v>
      </c>
      <c r="D842" s="3">
        <v>660000</v>
      </c>
    </row>
    <row r="843" spans="1:4" ht="26.25" customHeight="1" x14ac:dyDescent="0.4">
      <c r="A843" s="2"/>
      <c r="B843" s="15" t="s">
        <v>813</v>
      </c>
      <c r="C843" s="16" t="s">
        <v>810</v>
      </c>
      <c r="D843" s="3">
        <v>1323000</v>
      </c>
    </row>
    <row r="844" spans="1:4" ht="26.25" customHeight="1" x14ac:dyDescent="0.4">
      <c r="A844" s="2"/>
      <c r="B844" s="15" t="s">
        <v>814</v>
      </c>
      <c r="C844" s="16" t="s">
        <v>815</v>
      </c>
      <c r="D844" s="3">
        <v>34000</v>
      </c>
    </row>
    <row r="845" spans="1:4" ht="26.25" customHeight="1" x14ac:dyDescent="0.4">
      <c r="A845" s="2"/>
      <c r="B845" s="15" t="s">
        <v>816</v>
      </c>
      <c r="C845" s="16" t="s">
        <v>817</v>
      </c>
      <c r="D845" s="3">
        <v>8500</v>
      </c>
    </row>
    <row r="846" spans="1:4" ht="26.25" customHeight="1" x14ac:dyDescent="0.4">
      <c r="A846" s="2"/>
      <c r="B846" s="15" t="s">
        <v>818</v>
      </c>
      <c r="C846" s="14" t="s">
        <v>819</v>
      </c>
      <c r="D846" s="3">
        <v>14000</v>
      </c>
    </row>
    <row r="847" spans="1:4" ht="26.25" customHeight="1" x14ac:dyDescent="0.4">
      <c r="A847" s="2"/>
      <c r="B847" s="25" t="s">
        <v>820</v>
      </c>
      <c r="C847" s="16" t="s">
        <v>821</v>
      </c>
      <c r="D847" s="3">
        <v>89000</v>
      </c>
    </row>
    <row r="848" spans="1:4" ht="26.25" customHeight="1" x14ac:dyDescent="0.4">
      <c r="A848" s="2"/>
      <c r="B848" s="25" t="s">
        <v>822</v>
      </c>
      <c r="C848" s="16" t="s">
        <v>823</v>
      </c>
      <c r="D848" s="3">
        <v>7400</v>
      </c>
    </row>
    <row r="849" spans="1:4" ht="26.25" customHeight="1" x14ac:dyDescent="0.4">
      <c r="A849" s="2"/>
      <c r="B849" s="15" t="s">
        <v>824</v>
      </c>
      <c r="C849" s="16" t="s">
        <v>825</v>
      </c>
      <c r="D849" s="3">
        <v>9500</v>
      </c>
    </row>
    <row r="850" spans="1:4" ht="26.25" customHeight="1" x14ac:dyDescent="0.4">
      <c r="A850" s="2"/>
      <c r="B850" s="17" t="s">
        <v>826</v>
      </c>
      <c r="C850" s="33" t="s">
        <v>827</v>
      </c>
      <c r="D850" s="3">
        <v>6300</v>
      </c>
    </row>
    <row r="851" spans="1:4" ht="26.25" customHeight="1" x14ac:dyDescent="0.4">
      <c r="A851" s="2"/>
      <c r="B851" s="16" t="s">
        <v>932</v>
      </c>
      <c r="C851" s="16" t="s">
        <v>828</v>
      </c>
      <c r="D851" s="3">
        <v>6300</v>
      </c>
    </row>
    <row r="852" spans="1:4" ht="26.25" customHeight="1" x14ac:dyDescent="0.4">
      <c r="A852" s="2"/>
      <c r="B852" s="25" t="s">
        <v>829</v>
      </c>
      <c r="C852" s="16" t="s">
        <v>830</v>
      </c>
      <c r="D852" s="3">
        <v>7400</v>
      </c>
    </row>
    <row r="853" spans="1:4" ht="26.25" customHeight="1" x14ac:dyDescent="0.4">
      <c r="A853" s="2"/>
      <c r="B853" s="19" t="s">
        <v>831</v>
      </c>
      <c r="C853" s="2" t="s">
        <v>832</v>
      </c>
      <c r="D853" s="3">
        <v>12000</v>
      </c>
    </row>
    <row r="854" spans="1:4" ht="26.25" customHeight="1" x14ac:dyDescent="0.4">
      <c r="A854" s="2"/>
      <c r="B854" s="17" t="s">
        <v>833</v>
      </c>
      <c r="C854" s="2" t="s">
        <v>834</v>
      </c>
      <c r="D854" s="3">
        <v>12000</v>
      </c>
    </row>
    <row r="855" spans="1:4" ht="26.25" customHeight="1" x14ac:dyDescent="0.4">
      <c r="A855" s="2"/>
      <c r="B855" s="15" t="s">
        <v>835</v>
      </c>
      <c r="C855" s="2" t="s">
        <v>836</v>
      </c>
      <c r="D855" s="3">
        <v>98000</v>
      </c>
    </row>
    <row r="856" spans="1:4" ht="26.25" customHeight="1" x14ac:dyDescent="0.4">
      <c r="A856" s="2"/>
      <c r="B856" s="15" t="s">
        <v>837</v>
      </c>
      <c r="C856" s="16" t="s">
        <v>838</v>
      </c>
      <c r="D856" s="3">
        <v>140000</v>
      </c>
    </row>
    <row r="857" spans="1:4" ht="26.25" customHeight="1" x14ac:dyDescent="0.4">
      <c r="A857" s="2"/>
      <c r="B857" s="17" t="s">
        <v>89</v>
      </c>
      <c r="C857" s="2" t="s">
        <v>90</v>
      </c>
      <c r="D857" s="3">
        <v>238000</v>
      </c>
    </row>
    <row r="858" spans="1:4" ht="26.25" customHeight="1" x14ac:dyDescent="0.4">
      <c r="A858" s="2"/>
      <c r="B858" s="17" t="s">
        <v>839</v>
      </c>
      <c r="C858" s="2" t="s">
        <v>840</v>
      </c>
      <c r="D858" s="3">
        <v>111000</v>
      </c>
    </row>
    <row r="859" spans="1:4" ht="26.25" customHeight="1" x14ac:dyDescent="0.4">
      <c r="A859" s="2"/>
      <c r="B859" s="29" t="s">
        <v>841</v>
      </c>
      <c r="C859" s="29" t="s">
        <v>842</v>
      </c>
      <c r="D859" s="3">
        <v>2316000</v>
      </c>
    </row>
    <row r="860" spans="1:4" ht="26.25" customHeight="1" x14ac:dyDescent="0.4">
      <c r="A860" s="2"/>
      <c r="B860" s="12" t="s">
        <v>91</v>
      </c>
      <c r="C860" s="16" t="s">
        <v>92</v>
      </c>
      <c r="D860" s="3">
        <v>2606000</v>
      </c>
    </row>
    <row r="861" spans="1:4" ht="26.25" customHeight="1" x14ac:dyDescent="0.4">
      <c r="A861" s="2"/>
      <c r="B861" s="15" t="s">
        <v>93</v>
      </c>
      <c r="C861" s="16" t="s">
        <v>94</v>
      </c>
      <c r="D861" s="3">
        <v>342000</v>
      </c>
    </row>
    <row r="862" spans="1:4" ht="26.25" customHeight="1" x14ac:dyDescent="0.4">
      <c r="A862" s="2"/>
      <c r="B862" s="15" t="s">
        <v>843</v>
      </c>
      <c r="C862" s="14" t="s">
        <v>844</v>
      </c>
      <c r="D862" s="3">
        <v>51000</v>
      </c>
    </row>
    <row r="863" spans="1:4" ht="26.25" customHeight="1" x14ac:dyDescent="0.4">
      <c r="A863" s="2"/>
      <c r="B863" s="17" t="s">
        <v>95</v>
      </c>
      <c r="C863" s="2" t="s">
        <v>96</v>
      </c>
      <c r="D863" s="3">
        <v>3184000</v>
      </c>
    </row>
    <row r="864" spans="1:4" ht="26.25" customHeight="1" x14ac:dyDescent="0.4">
      <c r="A864" s="2"/>
      <c r="B864" s="23" t="s">
        <v>97</v>
      </c>
      <c r="C864" s="23" t="s">
        <v>98</v>
      </c>
      <c r="D864" s="3">
        <v>1105000</v>
      </c>
    </row>
    <row r="865" spans="1:4" ht="26.25" customHeight="1" x14ac:dyDescent="0.4">
      <c r="A865" s="2"/>
      <c r="B865" s="29" t="s">
        <v>845</v>
      </c>
      <c r="C865" s="29" t="s">
        <v>846</v>
      </c>
      <c r="D865" s="3">
        <v>410000</v>
      </c>
    </row>
    <row r="866" spans="1:4" ht="26.25" customHeight="1" x14ac:dyDescent="0.4">
      <c r="A866" s="2"/>
      <c r="B866" s="29" t="s">
        <v>847</v>
      </c>
      <c r="C866" s="16" t="s">
        <v>848</v>
      </c>
      <c r="D866" s="3">
        <v>7200000</v>
      </c>
    </row>
    <row r="867" spans="1:4" ht="26.25" customHeight="1" x14ac:dyDescent="0.4">
      <c r="A867" s="2"/>
      <c r="B867" s="12" t="s">
        <v>849</v>
      </c>
      <c r="C867" s="16" t="s">
        <v>850</v>
      </c>
      <c r="D867" s="3">
        <v>961000</v>
      </c>
    </row>
    <row r="868" spans="1:4" ht="26.25" customHeight="1" x14ac:dyDescent="0.4">
      <c r="A868" s="2"/>
      <c r="B868" s="20" t="s">
        <v>851</v>
      </c>
      <c r="C868" s="16" t="s">
        <v>852</v>
      </c>
      <c r="D868" s="3">
        <v>784000</v>
      </c>
    </row>
    <row r="869" spans="1:4" ht="26.25" customHeight="1" x14ac:dyDescent="0.4">
      <c r="A869" s="2">
        <v>1</v>
      </c>
      <c r="B869" s="20" t="s">
        <v>853</v>
      </c>
      <c r="C869" s="16" t="s">
        <v>854</v>
      </c>
      <c r="D869" s="3">
        <v>960000</v>
      </c>
    </row>
    <row r="870" spans="1:4" ht="26.25" customHeight="1" x14ac:dyDescent="0.4">
      <c r="A870" s="2"/>
      <c r="B870" s="15" t="s">
        <v>855</v>
      </c>
      <c r="C870" s="16" t="s">
        <v>934</v>
      </c>
      <c r="D870" s="3">
        <v>53000</v>
      </c>
    </row>
    <row r="871" spans="1:4" ht="26.25" customHeight="1" x14ac:dyDescent="0.4">
      <c r="A871" s="2"/>
      <c r="B871" s="15" t="s">
        <v>856</v>
      </c>
      <c r="C871" s="16" t="s">
        <v>935</v>
      </c>
      <c r="D871" s="3">
        <v>48000</v>
      </c>
    </row>
    <row r="872" spans="1:4" ht="26.25" customHeight="1" x14ac:dyDescent="0.4">
      <c r="A872" s="2"/>
      <c r="B872" s="17" t="s">
        <v>857</v>
      </c>
      <c r="C872" s="2" t="s">
        <v>858</v>
      </c>
      <c r="D872" s="3">
        <v>48000</v>
      </c>
    </row>
    <row r="873" spans="1:4" ht="26.25" customHeight="1" x14ac:dyDescent="0.4">
      <c r="A873" s="2"/>
      <c r="B873" s="17" t="s">
        <v>859</v>
      </c>
      <c r="C873" s="2" t="s">
        <v>860</v>
      </c>
      <c r="D873" s="3">
        <v>117000</v>
      </c>
    </row>
    <row r="874" spans="1:4" ht="26.25" customHeight="1" x14ac:dyDescent="0.4">
      <c r="A874" s="2"/>
      <c r="B874" s="15" t="s">
        <v>861</v>
      </c>
      <c r="C874" s="16" t="s">
        <v>862</v>
      </c>
      <c r="D874" s="3">
        <v>117000</v>
      </c>
    </row>
    <row r="875" spans="1:4" ht="26.25" customHeight="1" x14ac:dyDescent="0.4">
      <c r="A875" s="2"/>
      <c r="B875" s="15" t="s">
        <v>863</v>
      </c>
      <c r="C875" s="16" t="s">
        <v>864</v>
      </c>
      <c r="D875" s="3">
        <v>133000</v>
      </c>
    </row>
    <row r="876" spans="1:4" ht="26.25" customHeight="1" x14ac:dyDescent="0.4">
      <c r="A876" s="2"/>
      <c r="B876" s="17" t="s">
        <v>865</v>
      </c>
      <c r="C876" s="2" t="s">
        <v>866</v>
      </c>
      <c r="D876" s="3">
        <v>144000</v>
      </c>
    </row>
    <row r="877" spans="1:4" ht="26.25" customHeight="1" x14ac:dyDescent="0.4">
      <c r="A877" s="2"/>
      <c r="B877" s="17" t="s">
        <v>867</v>
      </c>
      <c r="C877" s="2" t="s">
        <v>1758</v>
      </c>
      <c r="D877" s="3">
        <v>51000</v>
      </c>
    </row>
    <row r="878" spans="1:4" ht="26.25" customHeight="1" x14ac:dyDescent="0.4">
      <c r="A878" s="2"/>
      <c r="B878" s="15" t="s">
        <v>868</v>
      </c>
      <c r="C878" s="16" t="s">
        <v>869</v>
      </c>
      <c r="D878" s="3">
        <v>111000</v>
      </c>
    </row>
    <row r="879" spans="1:4" ht="26.25" customHeight="1" x14ac:dyDescent="0.4">
      <c r="A879" s="2"/>
      <c r="B879" s="15" t="s">
        <v>870</v>
      </c>
      <c r="C879" s="16" t="s">
        <v>871</v>
      </c>
      <c r="D879" s="3">
        <v>100000</v>
      </c>
    </row>
    <row r="880" spans="1:4" ht="26.25" customHeight="1" x14ac:dyDescent="0.4">
      <c r="A880" s="2"/>
      <c r="B880" s="15" t="s">
        <v>872</v>
      </c>
      <c r="C880" s="14" t="s">
        <v>873</v>
      </c>
      <c r="D880" s="3">
        <v>100000</v>
      </c>
    </row>
    <row r="881" spans="1:4" ht="26.25" customHeight="1" x14ac:dyDescent="0.4">
      <c r="A881" s="2"/>
      <c r="B881" s="17" t="s">
        <v>874</v>
      </c>
      <c r="C881" s="2" t="s">
        <v>875</v>
      </c>
      <c r="D881" s="3">
        <v>2142000</v>
      </c>
    </row>
    <row r="882" spans="1:4" ht="26.25" customHeight="1" x14ac:dyDescent="0.4">
      <c r="A882" s="2"/>
      <c r="B882" s="15" t="s">
        <v>876</v>
      </c>
      <c r="C882" s="2" t="s">
        <v>1759</v>
      </c>
      <c r="D882" s="3">
        <v>12000</v>
      </c>
    </row>
    <row r="883" spans="1:4" ht="26.25" customHeight="1" x14ac:dyDescent="0.4">
      <c r="A883" s="2"/>
      <c r="B883" s="17" t="s">
        <v>877</v>
      </c>
      <c r="C883" s="2" t="s">
        <v>878</v>
      </c>
      <c r="D883" s="3">
        <v>62000</v>
      </c>
    </row>
    <row r="884" spans="1:4" ht="26.25" customHeight="1" x14ac:dyDescent="0.4">
      <c r="A884" s="2"/>
      <c r="B884" s="23" t="s">
        <v>99</v>
      </c>
      <c r="C884" s="23" t="s">
        <v>100</v>
      </c>
      <c r="D884" s="3">
        <v>1572000</v>
      </c>
    </row>
    <row r="885" spans="1:4" ht="26.25" customHeight="1" x14ac:dyDescent="0.4">
      <c r="A885" s="2"/>
      <c r="B885" s="12" t="s">
        <v>929</v>
      </c>
      <c r="C885" s="16" t="s">
        <v>101</v>
      </c>
      <c r="D885" s="3">
        <v>186000</v>
      </c>
    </row>
    <row r="886" spans="1:4" ht="26.25" customHeight="1" x14ac:dyDescent="0.4">
      <c r="A886" s="2"/>
      <c r="B886" s="15" t="s">
        <v>879</v>
      </c>
      <c r="C886" s="33" t="s">
        <v>880</v>
      </c>
      <c r="D886" s="3">
        <v>34000</v>
      </c>
    </row>
    <row r="887" spans="1:4" ht="26.25" customHeight="1" x14ac:dyDescent="0.4">
      <c r="A887" s="2"/>
      <c r="B887" s="15" t="s">
        <v>881</v>
      </c>
      <c r="C887" s="33" t="s">
        <v>882</v>
      </c>
      <c r="D887" s="3">
        <v>84000</v>
      </c>
    </row>
    <row r="888" spans="1:4" ht="26.25" customHeight="1" x14ac:dyDescent="0.4">
      <c r="A888" s="2"/>
      <c r="B888" s="15" t="s">
        <v>883</v>
      </c>
      <c r="C888" s="33" t="s">
        <v>884</v>
      </c>
      <c r="D888" s="3">
        <v>48000</v>
      </c>
    </row>
    <row r="889" spans="1:4" ht="26.25" customHeight="1" x14ac:dyDescent="0.4">
      <c r="A889" s="2"/>
      <c r="B889" s="25" t="s">
        <v>885</v>
      </c>
      <c r="C889" s="16" t="s">
        <v>886</v>
      </c>
      <c r="D889" s="3">
        <v>133000</v>
      </c>
    </row>
    <row r="890" spans="1:4" ht="26.25" customHeight="1" x14ac:dyDescent="0.4">
      <c r="A890" s="2"/>
      <c r="B890" s="15" t="s">
        <v>887</v>
      </c>
      <c r="C890" s="2" t="s">
        <v>888</v>
      </c>
      <c r="D890" s="3">
        <v>29000</v>
      </c>
    </row>
    <row r="891" spans="1:4" ht="26.25" customHeight="1" x14ac:dyDescent="0.4">
      <c r="A891" s="2"/>
      <c r="B891" s="15" t="s">
        <v>102</v>
      </c>
      <c r="C891" s="16" t="s">
        <v>103</v>
      </c>
      <c r="D891" s="3">
        <v>67000</v>
      </c>
    </row>
    <row r="892" spans="1:4" ht="26.25" customHeight="1" x14ac:dyDescent="0.4">
      <c r="A892" s="2"/>
      <c r="B892" s="15" t="s">
        <v>889</v>
      </c>
      <c r="C892" s="14" t="s">
        <v>890</v>
      </c>
      <c r="D892" s="3">
        <v>12000</v>
      </c>
    </row>
    <row r="893" spans="1:4" ht="26.25" customHeight="1" x14ac:dyDescent="0.4">
      <c r="A893" s="2"/>
      <c r="B893" s="17" t="s">
        <v>891</v>
      </c>
      <c r="C893" s="2" t="s">
        <v>892</v>
      </c>
      <c r="D893" s="3">
        <v>58000</v>
      </c>
    </row>
    <row r="894" spans="1:4" ht="26.25" customHeight="1" x14ac:dyDescent="0.4">
      <c r="A894" s="2"/>
      <c r="B894" s="16" t="s">
        <v>893</v>
      </c>
      <c r="C894" s="2" t="s">
        <v>894</v>
      </c>
      <c r="D894" s="3">
        <v>629000</v>
      </c>
    </row>
    <row r="895" spans="1:4" ht="26.25" customHeight="1" x14ac:dyDescent="0.4">
      <c r="A895" s="2"/>
      <c r="B895" s="2" t="s">
        <v>895</v>
      </c>
      <c r="C895" s="2" t="s">
        <v>896</v>
      </c>
      <c r="D895" s="3">
        <v>637000</v>
      </c>
    </row>
    <row r="896" spans="1:4" ht="26.25" customHeight="1" x14ac:dyDescent="0.4">
      <c r="A896" s="2"/>
      <c r="B896" s="15" t="s">
        <v>897</v>
      </c>
      <c r="C896" s="14" t="s">
        <v>898</v>
      </c>
      <c r="D896" s="3">
        <v>11000</v>
      </c>
    </row>
    <row r="897" spans="1:4" ht="26.25" customHeight="1" x14ac:dyDescent="0.4">
      <c r="A897" s="2"/>
      <c r="B897" s="15" t="s">
        <v>899</v>
      </c>
      <c r="C897" s="14" t="s">
        <v>900</v>
      </c>
      <c r="D897" s="3">
        <v>20000</v>
      </c>
    </row>
    <row r="898" spans="1:4" ht="26.25" customHeight="1" x14ac:dyDescent="0.4">
      <c r="A898" s="2"/>
      <c r="B898" s="15" t="s">
        <v>901</v>
      </c>
      <c r="C898" s="14" t="s">
        <v>902</v>
      </c>
      <c r="D898" s="3">
        <v>3200</v>
      </c>
    </row>
    <row r="899" spans="1:4" ht="26.25" customHeight="1" x14ac:dyDescent="0.4">
      <c r="A899" s="2"/>
      <c r="B899" s="16" t="s">
        <v>933</v>
      </c>
      <c r="C899" s="16" t="s">
        <v>104</v>
      </c>
      <c r="D899" s="3">
        <v>4972000</v>
      </c>
    </row>
    <row r="900" spans="1:4" ht="26.25" customHeight="1" x14ac:dyDescent="0.4">
      <c r="A900" s="2"/>
      <c r="B900" s="15" t="s">
        <v>105</v>
      </c>
      <c r="C900" s="14" t="s">
        <v>106</v>
      </c>
      <c r="D900" s="3">
        <v>387000</v>
      </c>
    </row>
    <row r="901" spans="1:4" ht="26.25" customHeight="1" x14ac:dyDescent="0.4">
      <c r="A901" s="2"/>
      <c r="B901" s="29" t="s">
        <v>1789</v>
      </c>
      <c r="C901" s="29" t="s">
        <v>1790</v>
      </c>
      <c r="D901" s="3">
        <v>179000</v>
      </c>
    </row>
    <row r="902" spans="1:4" ht="26.25" customHeight="1" x14ac:dyDescent="0.4">
      <c r="A902" s="2"/>
      <c r="B902" s="29" t="s">
        <v>903</v>
      </c>
      <c r="C902" s="29" t="s">
        <v>904</v>
      </c>
      <c r="D902" s="3">
        <v>503000</v>
      </c>
    </row>
    <row r="903" spans="1:4" ht="26.25" customHeight="1" x14ac:dyDescent="0.4">
      <c r="A903" s="2"/>
      <c r="B903" s="31" t="s">
        <v>905</v>
      </c>
      <c r="C903" s="16" t="s">
        <v>906</v>
      </c>
      <c r="D903" s="3">
        <v>256000</v>
      </c>
    </row>
    <row r="904" spans="1:4" ht="26.25" customHeight="1" x14ac:dyDescent="0.4">
      <c r="A904" s="2"/>
      <c r="B904" s="17" t="s">
        <v>907</v>
      </c>
      <c r="C904" s="16" t="s">
        <v>908</v>
      </c>
      <c r="D904" s="3">
        <v>42000</v>
      </c>
    </row>
    <row r="905" spans="1:4" ht="26.25" customHeight="1" x14ac:dyDescent="0.4">
      <c r="A905" s="2"/>
      <c r="B905" s="12" t="s">
        <v>909</v>
      </c>
      <c r="C905" s="16" t="s">
        <v>910</v>
      </c>
      <c r="D905" s="3">
        <v>249000</v>
      </c>
    </row>
    <row r="906" spans="1:4" ht="26.25" customHeight="1" x14ac:dyDescent="0.4">
      <c r="A906" s="2"/>
      <c r="B906" s="15" t="s">
        <v>911</v>
      </c>
      <c r="C906" s="14" t="s">
        <v>912</v>
      </c>
      <c r="D906" s="3">
        <v>2100</v>
      </c>
    </row>
    <row r="907" spans="1:4" ht="26.25" customHeight="1" x14ac:dyDescent="0.4">
      <c r="A907" s="2"/>
      <c r="B907" s="15" t="s">
        <v>913</v>
      </c>
      <c r="C907" s="16" t="s">
        <v>914</v>
      </c>
      <c r="D907" s="3">
        <v>1944000</v>
      </c>
    </row>
    <row r="908" spans="1:4" ht="26.25" customHeight="1" x14ac:dyDescent="0.4">
      <c r="A908" s="2"/>
      <c r="B908" s="15" t="s">
        <v>915</v>
      </c>
      <c r="C908" s="14" t="s">
        <v>916</v>
      </c>
      <c r="D908" s="3">
        <v>750000</v>
      </c>
    </row>
    <row r="909" spans="1:4" ht="26.25" customHeight="1" x14ac:dyDescent="0.4">
      <c r="A909" s="2"/>
      <c r="B909" s="15" t="s">
        <v>917</v>
      </c>
      <c r="C909" s="14" t="s">
        <v>918</v>
      </c>
      <c r="D909" s="3">
        <v>4200</v>
      </c>
    </row>
    <row r="910" spans="1:4" ht="26.25" customHeight="1" x14ac:dyDescent="0.4">
      <c r="A910" s="2"/>
      <c r="B910" s="15" t="s">
        <v>919</v>
      </c>
      <c r="C910" s="14" t="s">
        <v>920</v>
      </c>
      <c r="D910" s="3">
        <v>117000</v>
      </c>
    </row>
    <row r="911" spans="1:4" ht="26.25" customHeight="1" x14ac:dyDescent="0.4">
      <c r="A911" s="2"/>
      <c r="B911" s="15" t="s">
        <v>921</v>
      </c>
      <c r="C911" s="14" t="s">
        <v>922</v>
      </c>
      <c r="D911" s="3">
        <v>53000</v>
      </c>
    </row>
    <row r="912" spans="1:4" ht="26.25" customHeight="1" x14ac:dyDescent="0.4">
      <c r="A912" s="2"/>
      <c r="B912" s="15" t="s">
        <v>923</v>
      </c>
      <c r="C912" s="14" t="s">
        <v>924</v>
      </c>
      <c r="D912" s="3">
        <v>552000</v>
      </c>
    </row>
    <row r="913" spans="1:4" ht="26.25" customHeight="1" x14ac:dyDescent="0.4">
      <c r="A913" s="2"/>
      <c r="B913" s="20" t="s">
        <v>925</v>
      </c>
      <c r="C913" s="16" t="s">
        <v>926</v>
      </c>
      <c r="D913" s="3">
        <v>21000</v>
      </c>
    </row>
    <row r="914" spans="1:4" ht="26.25" customHeight="1" x14ac:dyDescent="0.4">
      <c r="A914" s="2"/>
      <c r="B914" s="15" t="s">
        <v>911</v>
      </c>
      <c r="C914" s="16" t="s">
        <v>927</v>
      </c>
      <c r="D914" s="3">
        <v>2100</v>
      </c>
    </row>
    <row r="915" spans="1:4" ht="26.25" customHeight="1" x14ac:dyDescent="0.4">
      <c r="A915" s="2"/>
      <c r="B915" s="29" t="s">
        <v>1775</v>
      </c>
      <c r="C915" s="29" t="s">
        <v>1776</v>
      </c>
      <c r="D915" s="3">
        <v>750000</v>
      </c>
    </row>
    <row r="916" spans="1:4" ht="26.25" customHeight="1" x14ac:dyDescent="0.4">
      <c r="A916" s="2"/>
      <c r="B916" s="29" t="s">
        <v>1777</v>
      </c>
      <c r="C916" s="29" t="s">
        <v>1778</v>
      </c>
      <c r="D916" s="3">
        <v>750000</v>
      </c>
    </row>
  </sheetData>
  <autoFilter ref="A2:D916" xr:uid="{542910F2-D9B0-4CE8-A254-218E4300788B}"/>
  <phoneticPr fontId="3" type="noConversion"/>
  <pageMargins left="0.7" right="0.7" top="0.75" bottom="0.75" header="0.3" footer="0.3"/>
  <pageSetup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92A0-9F8D-42C2-8A13-35A2F33F2288}">
  <sheetPr>
    <pageSetUpPr fitToPage="1"/>
  </sheetPr>
  <dimension ref="A1:F49"/>
  <sheetViews>
    <sheetView topLeftCell="A28" workbookViewId="0">
      <selection activeCell="H43" sqref="H43"/>
    </sheetView>
  </sheetViews>
  <sheetFormatPr defaultRowHeight="14.4" x14ac:dyDescent="0.35"/>
  <cols>
    <col min="1" max="1" width="14.5" style="38" customWidth="1"/>
    <col min="2" max="2" width="22.19921875" style="38" customWidth="1"/>
    <col min="3" max="3" width="6.3984375" style="38" customWidth="1"/>
    <col min="4" max="4" width="5.19921875" style="38" customWidth="1"/>
    <col min="5" max="5" width="11.8984375" style="38" customWidth="1"/>
    <col min="6" max="6" width="26.19921875" style="38" customWidth="1"/>
    <col min="7" max="236" width="8.796875" style="38"/>
    <col min="237" max="237" width="10.8984375" style="38" customWidth="1"/>
    <col min="238" max="238" width="17.3984375" style="38" customWidth="1"/>
    <col min="239" max="239" width="6.3984375" style="38" customWidth="1"/>
    <col min="240" max="240" width="5.19921875" style="38" customWidth="1"/>
    <col min="241" max="241" width="10.69921875" style="38" customWidth="1"/>
    <col min="242" max="242" width="26.19921875" style="38" customWidth="1"/>
    <col min="243" max="243" width="25.69921875" style="38" customWidth="1"/>
    <col min="244" max="244" width="24.59765625" style="38" customWidth="1"/>
    <col min="245" max="245" width="19.19921875" style="38" customWidth="1"/>
    <col min="246" max="246" width="10.09765625" style="38" customWidth="1"/>
    <col min="247" max="492" width="8.796875" style="38"/>
    <col min="493" max="493" width="10.8984375" style="38" customWidth="1"/>
    <col min="494" max="494" width="17.3984375" style="38" customWidth="1"/>
    <col min="495" max="495" width="6.3984375" style="38" customWidth="1"/>
    <col min="496" max="496" width="5.19921875" style="38" customWidth="1"/>
    <col min="497" max="497" width="10.69921875" style="38" customWidth="1"/>
    <col min="498" max="498" width="26.19921875" style="38" customWidth="1"/>
    <col min="499" max="499" width="25.69921875" style="38" customWidth="1"/>
    <col min="500" max="500" width="24.59765625" style="38" customWidth="1"/>
    <col min="501" max="501" width="19.19921875" style="38" customWidth="1"/>
    <col min="502" max="502" width="10.09765625" style="38" customWidth="1"/>
    <col min="503" max="748" width="8.796875" style="38"/>
    <col min="749" max="749" width="10.8984375" style="38" customWidth="1"/>
    <col min="750" max="750" width="17.3984375" style="38" customWidth="1"/>
    <col min="751" max="751" width="6.3984375" style="38" customWidth="1"/>
    <col min="752" max="752" width="5.19921875" style="38" customWidth="1"/>
    <col min="753" max="753" width="10.69921875" style="38" customWidth="1"/>
    <col min="754" max="754" width="26.19921875" style="38" customWidth="1"/>
    <col min="755" max="755" width="25.69921875" style="38" customWidth="1"/>
    <col min="756" max="756" width="24.59765625" style="38" customWidth="1"/>
    <col min="757" max="757" width="19.19921875" style="38" customWidth="1"/>
    <col min="758" max="758" width="10.09765625" style="38" customWidth="1"/>
    <col min="759" max="1004" width="8.796875" style="38"/>
    <col min="1005" max="1005" width="10.8984375" style="38" customWidth="1"/>
    <col min="1006" max="1006" width="17.3984375" style="38" customWidth="1"/>
    <col min="1007" max="1007" width="6.3984375" style="38" customWidth="1"/>
    <col min="1008" max="1008" width="5.19921875" style="38" customWidth="1"/>
    <col min="1009" max="1009" width="10.69921875" style="38" customWidth="1"/>
    <col min="1010" max="1010" width="26.19921875" style="38" customWidth="1"/>
    <col min="1011" max="1011" width="25.69921875" style="38" customWidth="1"/>
    <col min="1012" max="1012" width="24.59765625" style="38" customWidth="1"/>
    <col min="1013" max="1013" width="19.19921875" style="38" customWidth="1"/>
    <col min="1014" max="1014" width="10.09765625" style="38" customWidth="1"/>
    <col min="1015" max="1260" width="8.796875" style="38"/>
    <col min="1261" max="1261" width="10.8984375" style="38" customWidth="1"/>
    <col min="1262" max="1262" width="17.3984375" style="38" customWidth="1"/>
    <col min="1263" max="1263" width="6.3984375" style="38" customWidth="1"/>
    <col min="1264" max="1264" width="5.19921875" style="38" customWidth="1"/>
    <col min="1265" max="1265" width="10.69921875" style="38" customWidth="1"/>
    <col min="1266" max="1266" width="26.19921875" style="38" customWidth="1"/>
    <col min="1267" max="1267" width="25.69921875" style="38" customWidth="1"/>
    <col min="1268" max="1268" width="24.59765625" style="38" customWidth="1"/>
    <col min="1269" max="1269" width="19.19921875" style="38" customWidth="1"/>
    <col min="1270" max="1270" width="10.09765625" style="38" customWidth="1"/>
    <col min="1271" max="1516" width="8.796875" style="38"/>
    <col min="1517" max="1517" width="10.8984375" style="38" customWidth="1"/>
    <col min="1518" max="1518" width="17.3984375" style="38" customWidth="1"/>
    <col min="1519" max="1519" width="6.3984375" style="38" customWidth="1"/>
    <col min="1520" max="1520" width="5.19921875" style="38" customWidth="1"/>
    <col min="1521" max="1521" width="10.69921875" style="38" customWidth="1"/>
    <col min="1522" max="1522" width="26.19921875" style="38" customWidth="1"/>
    <col min="1523" max="1523" width="25.69921875" style="38" customWidth="1"/>
    <col min="1524" max="1524" width="24.59765625" style="38" customWidth="1"/>
    <col min="1525" max="1525" width="19.19921875" style="38" customWidth="1"/>
    <col min="1526" max="1526" width="10.09765625" style="38" customWidth="1"/>
    <col min="1527" max="1772" width="8.796875" style="38"/>
    <col min="1773" max="1773" width="10.8984375" style="38" customWidth="1"/>
    <col min="1774" max="1774" width="17.3984375" style="38" customWidth="1"/>
    <col min="1775" max="1775" width="6.3984375" style="38" customWidth="1"/>
    <col min="1776" max="1776" width="5.19921875" style="38" customWidth="1"/>
    <col min="1777" max="1777" width="10.69921875" style="38" customWidth="1"/>
    <col min="1778" max="1778" width="26.19921875" style="38" customWidth="1"/>
    <col min="1779" max="1779" width="25.69921875" style="38" customWidth="1"/>
    <col min="1780" max="1780" width="24.59765625" style="38" customWidth="1"/>
    <col min="1781" max="1781" width="19.19921875" style="38" customWidth="1"/>
    <col min="1782" max="1782" width="10.09765625" style="38" customWidth="1"/>
    <col min="1783" max="2028" width="8.796875" style="38"/>
    <col min="2029" max="2029" width="10.8984375" style="38" customWidth="1"/>
    <col min="2030" max="2030" width="17.3984375" style="38" customWidth="1"/>
    <col min="2031" max="2031" width="6.3984375" style="38" customWidth="1"/>
    <col min="2032" max="2032" width="5.19921875" style="38" customWidth="1"/>
    <col min="2033" max="2033" width="10.69921875" style="38" customWidth="1"/>
    <col min="2034" max="2034" width="26.19921875" style="38" customWidth="1"/>
    <col min="2035" max="2035" width="25.69921875" style="38" customWidth="1"/>
    <col min="2036" max="2036" width="24.59765625" style="38" customWidth="1"/>
    <col min="2037" max="2037" width="19.19921875" style="38" customWidth="1"/>
    <col min="2038" max="2038" width="10.09765625" style="38" customWidth="1"/>
    <col min="2039" max="2284" width="8.796875" style="38"/>
    <col min="2285" max="2285" width="10.8984375" style="38" customWidth="1"/>
    <col min="2286" max="2286" width="17.3984375" style="38" customWidth="1"/>
    <col min="2287" max="2287" width="6.3984375" style="38" customWidth="1"/>
    <col min="2288" max="2288" width="5.19921875" style="38" customWidth="1"/>
    <col min="2289" max="2289" width="10.69921875" style="38" customWidth="1"/>
    <col min="2290" max="2290" width="26.19921875" style="38" customWidth="1"/>
    <col min="2291" max="2291" width="25.69921875" style="38" customWidth="1"/>
    <col min="2292" max="2292" width="24.59765625" style="38" customWidth="1"/>
    <col min="2293" max="2293" width="19.19921875" style="38" customWidth="1"/>
    <col min="2294" max="2294" width="10.09765625" style="38" customWidth="1"/>
    <col min="2295" max="2540" width="8.796875" style="38"/>
    <col min="2541" max="2541" width="10.8984375" style="38" customWidth="1"/>
    <col min="2542" max="2542" width="17.3984375" style="38" customWidth="1"/>
    <col min="2543" max="2543" width="6.3984375" style="38" customWidth="1"/>
    <col min="2544" max="2544" width="5.19921875" style="38" customWidth="1"/>
    <col min="2545" max="2545" width="10.69921875" style="38" customWidth="1"/>
    <col min="2546" max="2546" width="26.19921875" style="38" customWidth="1"/>
    <col min="2547" max="2547" width="25.69921875" style="38" customWidth="1"/>
    <col min="2548" max="2548" width="24.59765625" style="38" customWidth="1"/>
    <col min="2549" max="2549" width="19.19921875" style="38" customWidth="1"/>
    <col min="2550" max="2550" width="10.09765625" style="38" customWidth="1"/>
    <col min="2551" max="2796" width="8.796875" style="38"/>
    <col min="2797" max="2797" width="10.8984375" style="38" customWidth="1"/>
    <col min="2798" max="2798" width="17.3984375" style="38" customWidth="1"/>
    <col min="2799" max="2799" width="6.3984375" style="38" customWidth="1"/>
    <col min="2800" max="2800" width="5.19921875" style="38" customWidth="1"/>
    <col min="2801" max="2801" width="10.69921875" style="38" customWidth="1"/>
    <col min="2802" max="2802" width="26.19921875" style="38" customWidth="1"/>
    <col min="2803" max="2803" width="25.69921875" style="38" customWidth="1"/>
    <col min="2804" max="2804" width="24.59765625" style="38" customWidth="1"/>
    <col min="2805" max="2805" width="19.19921875" style="38" customWidth="1"/>
    <col min="2806" max="2806" width="10.09765625" style="38" customWidth="1"/>
    <col min="2807" max="3052" width="8.796875" style="38"/>
    <col min="3053" max="3053" width="10.8984375" style="38" customWidth="1"/>
    <col min="3054" max="3054" width="17.3984375" style="38" customWidth="1"/>
    <col min="3055" max="3055" width="6.3984375" style="38" customWidth="1"/>
    <col min="3056" max="3056" width="5.19921875" style="38" customWidth="1"/>
    <col min="3057" max="3057" width="10.69921875" style="38" customWidth="1"/>
    <col min="3058" max="3058" width="26.19921875" style="38" customWidth="1"/>
    <col min="3059" max="3059" width="25.69921875" style="38" customWidth="1"/>
    <col min="3060" max="3060" width="24.59765625" style="38" customWidth="1"/>
    <col min="3061" max="3061" width="19.19921875" style="38" customWidth="1"/>
    <col min="3062" max="3062" width="10.09765625" style="38" customWidth="1"/>
    <col min="3063" max="3308" width="8.796875" style="38"/>
    <col min="3309" max="3309" width="10.8984375" style="38" customWidth="1"/>
    <col min="3310" max="3310" width="17.3984375" style="38" customWidth="1"/>
    <col min="3311" max="3311" width="6.3984375" style="38" customWidth="1"/>
    <col min="3312" max="3312" width="5.19921875" style="38" customWidth="1"/>
    <col min="3313" max="3313" width="10.69921875" style="38" customWidth="1"/>
    <col min="3314" max="3314" width="26.19921875" style="38" customWidth="1"/>
    <col min="3315" max="3315" width="25.69921875" style="38" customWidth="1"/>
    <col min="3316" max="3316" width="24.59765625" style="38" customWidth="1"/>
    <col min="3317" max="3317" width="19.19921875" style="38" customWidth="1"/>
    <col min="3318" max="3318" width="10.09765625" style="38" customWidth="1"/>
    <col min="3319" max="3564" width="8.796875" style="38"/>
    <col min="3565" max="3565" width="10.8984375" style="38" customWidth="1"/>
    <col min="3566" max="3566" width="17.3984375" style="38" customWidth="1"/>
    <col min="3567" max="3567" width="6.3984375" style="38" customWidth="1"/>
    <col min="3568" max="3568" width="5.19921875" style="38" customWidth="1"/>
    <col min="3569" max="3569" width="10.69921875" style="38" customWidth="1"/>
    <col min="3570" max="3570" width="26.19921875" style="38" customWidth="1"/>
    <col min="3571" max="3571" width="25.69921875" style="38" customWidth="1"/>
    <col min="3572" max="3572" width="24.59765625" style="38" customWidth="1"/>
    <col min="3573" max="3573" width="19.19921875" style="38" customWidth="1"/>
    <col min="3574" max="3574" width="10.09765625" style="38" customWidth="1"/>
    <col min="3575" max="3820" width="8.796875" style="38"/>
    <col min="3821" max="3821" width="10.8984375" style="38" customWidth="1"/>
    <col min="3822" max="3822" width="17.3984375" style="38" customWidth="1"/>
    <col min="3823" max="3823" width="6.3984375" style="38" customWidth="1"/>
    <col min="3824" max="3824" width="5.19921875" style="38" customWidth="1"/>
    <col min="3825" max="3825" width="10.69921875" style="38" customWidth="1"/>
    <col min="3826" max="3826" width="26.19921875" style="38" customWidth="1"/>
    <col min="3827" max="3827" width="25.69921875" style="38" customWidth="1"/>
    <col min="3828" max="3828" width="24.59765625" style="38" customWidth="1"/>
    <col min="3829" max="3829" width="19.19921875" style="38" customWidth="1"/>
    <col min="3830" max="3830" width="10.09765625" style="38" customWidth="1"/>
    <col min="3831" max="4076" width="8.796875" style="38"/>
    <col min="4077" max="4077" width="10.8984375" style="38" customWidth="1"/>
    <col min="4078" max="4078" width="17.3984375" style="38" customWidth="1"/>
    <col min="4079" max="4079" width="6.3984375" style="38" customWidth="1"/>
    <col min="4080" max="4080" width="5.19921875" style="38" customWidth="1"/>
    <col min="4081" max="4081" width="10.69921875" style="38" customWidth="1"/>
    <col min="4082" max="4082" width="26.19921875" style="38" customWidth="1"/>
    <col min="4083" max="4083" width="25.69921875" style="38" customWidth="1"/>
    <col min="4084" max="4084" width="24.59765625" style="38" customWidth="1"/>
    <col min="4085" max="4085" width="19.19921875" style="38" customWidth="1"/>
    <col min="4086" max="4086" width="10.09765625" style="38" customWidth="1"/>
    <col min="4087" max="4332" width="8.796875" style="38"/>
    <col min="4333" max="4333" width="10.8984375" style="38" customWidth="1"/>
    <col min="4334" max="4334" width="17.3984375" style="38" customWidth="1"/>
    <col min="4335" max="4335" width="6.3984375" style="38" customWidth="1"/>
    <col min="4336" max="4336" width="5.19921875" style="38" customWidth="1"/>
    <col min="4337" max="4337" width="10.69921875" style="38" customWidth="1"/>
    <col min="4338" max="4338" width="26.19921875" style="38" customWidth="1"/>
    <col min="4339" max="4339" width="25.69921875" style="38" customWidth="1"/>
    <col min="4340" max="4340" width="24.59765625" style="38" customWidth="1"/>
    <col min="4341" max="4341" width="19.19921875" style="38" customWidth="1"/>
    <col min="4342" max="4342" width="10.09765625" style="38" customWidth="1"/>
    <col min="4343" max="4588" width="8.796875" style="38"/>
    <col min="4589" max="4589" width="10.8984375" style="38" customWidth="1"/>
    <col min="4590" max="4590" width="17.3984375" style="38" customWidth="1"/>
    <col min="4591" max="4591" width="6.3984375" style="38" customWidth="1"/>
    <col min="4592" max="4592" width="5.19921875" style="38" customWidth="1"/>
    <col min="4593" max="4593" width="10.69921875" style="38" customWidth="1"/>
    <col min="4594" max="4594" width="26.19921875" style="38" customWidth="1"/>
    <col min="4595" max="4595" width="25.69921875" style="38" customWidth="1"/>
    <col min="4596" max="4596" width="24.59765625" style="38" customWidth="1"/>
    <col min="4597" max="4597" width="19.19921875" style="38" customWidth="1"/>
    <col min="4598" max="4598" width="10.09765625" style="38" customWidth="1"/>
    <col min="4599" max="4844" width="8.796875" style="38"/>
    <col min="4845" max="4845" width="10.8984375" style="38" customWidth="1"/>
    <col min="4846" max="4846" width="17.3984375" style="38" customWidth="1"/>
    <col min="4847" max="4847" width="6.3984375" style="38" customWidth="1"/>
    <col min="4848" max="4848" width="5.19921875" style="38" customWidth="1"/>
    <col min="4849" max="4849" width="10.69921875" style="38" customWidth="1"/>
    <col min="4850" max="4850" width="26.19921875" style="38" customWidth="1"/>
    <col min="4851" max="4851" width="25.69921875" style="38" customWidth="1"/>
    <col min="4852" max="4852" width="24.59765625" style="38" customWidth="1"/>
    <col min="4853" max="4853" width="19.19921875" style="38" customWidth="1"/>
    <col min="4854" max="4854" width="10.09765625" style="38" customWidth="1"/>
    <col min="4855" max="5100" width="8.796875" style="38"/>
    <col min="5101" max="5101" width="10.8984375" style="38" customWidth="1"/>
    <col min="5102" max="5102" width="17.3984375" style="38" customWidth="1"/>
    <col min="5103" max="5103" width="6.3984375" style="38" customWidth="1"/>
    <col min="5104" max="5104" width="5.19921875" style="38" customWidth="1"/>
    <col min="5105" max="5105" width="10.69921875" style="38" customWidth="1"/>
    <col min="5106" max="5106" width="26.19921875" style="38" customWidth="1"/>
    <col min="5107" max="5107" width="25.69921875" style="38" customWidth="1"/>
    <col min="5108" max="5108" width="24.59765625" style="38" customWidth="1"/>
    <col min="5109" max="5109" width="19.19921875" style="38" customWidth="1"/>
    <col min="5110" max="5110" width="10.09765625" style="38" customWidth="1"/>
    <col min="5111" max="5356" width="8.796875" style="38"/>
    <col min="5357" max="5357" width="10.8984375" style="38" customWidth="1"/>
    <col min="5358" max="5358" width="17.3984375" style="38" customWidth="1"/>
    <col min="5359" max="5359" width="6.3984375" style="38" customWidth="1"/>
    <col min="5360" max="5360" width="5.19921875" style="38" customWidth="1"/>
    <col min="5361" max="5361" width="10.69921875" style="38" customWidth="1"/>
    <col min="5362" max="5362" width="26.19921875" style="38" customWidth="1"/>
    <col min="5363" max="5363" width="25.69921875" style="38" customWidth="1"/>
    <col min="5364" max="5364" width="24.59765625" style="38" customWidth="1"/>
    <col min="5365" max="5365" width="19.19921875" style="38" customWidth="1"/>
    <col min="5366" max="5366" width="10.09765625" style="38" customWidth="1"/>
    <col min="5367" max="5612" width="8.796875" style="38"/>
    <col min="5613" max="5613" width="10.8984375" style="38" customWidth="1"/>
    <col min="5614" max="5614" width="17.3984375" style="38" customWidth="1"/>
    <col min="5615" max="5615" width="6.3984375" style="38" customWidth="1"/>
    <col min="5616" max="5616" width="5.19921875" style="38" customWidth="1"/>
    <col min="5617" max="5617" width="10.69921875" style="38" customWidth="1"/>
    <col min="5618" max="5618" width="26.19921875" style="38" customWidth="1"/>
    <col min="5619" max="5619" width="25.69921875" style="38" customWidth="1"/>
    <col min="5620" max="5620" width="24.59765625" style="38" customWidth="1"/>
    <col min="5621" max="5621" width="19.19921875" style="38" customWidth="1"/>
    <col min="5622" max="5622" width="10.09765625" style="38" customWidth="1"/>
    <col min="5623" max="5868" width="8.796875" style="38"/>
    <col min="5869" max="5869" width="10.8984375" style="38" customWidth="1"/>
    <col min="5870" max="5870" width="17.3984375" style="38" customWidth="1"/>
    <col min="5871" max="5871" width="6.3984375" style="38" customWidth="1"/>
    <col min="5872" max="5872" width="5.19921875" style="38" customWidth="1"/>
    <col min="5873" max="5873" width="10.69921875" style="38" customWidth="1"/>
    <col min="5874" max="5874" width="26.19921875" style="38" customWidth="1"/>
    <col min="5875" max="5875" width="25.69921875" style="38" customWidth="1"/>
    <col min="5876" max="5876" width="24.59765625" style="38" customWidth="1"/>
    <col min="5877" max="5877" width="19.19921875" style="38" customWidth="1"/>
    <col min="5878" max="5878" width="10.09765625" style="38" customWidth="1"/>
    <col min="5879" max="6124" width="8.796875" style="38"/>
    <col min="6125" max="6125" width="10.8984375" style="38" customWidth="1"/>
    <col min="6126" max="6126" width="17.3984375" style="38" customWidth="1"/>
    <col min="6127" max="6127" width="6.3984375" style="38" customWidth="1"/>
    <col min="6128" max="6128" width="5.19921875" style="38" customWidth="1"/>
    <col min="6129" max="6129" width="10.69921875" style="38" customWidth="1"/>
    <col min="6130" max="6130" width="26.19921875" style="38" customWidth="1"/>
    <col min="6131" max="6131" width="25.69921875" style="38" customWidth="1"/>
    <col min="6132" max="6132" width="24.59765625" style="38" customWidth="1"/>
    <col min="6133" max="6133" width="19.19921875" style="38" customWidth="1"/>
    <col min="6134" max="6134" width="10.09765625" style="38" customWidth="1"/>
    <col min="6135" max="6380" width="8.796875" style="38"/>
    <col min="6381" max="6381" width="10.8984375" style="38" customWidth="1"/>
    <col min="6382" max="6382" width="17.3984375" style="38" customWidth="1"/>
    <col min="6383" max="6383" width="6.3984375" style="38" customWidth="1"/>
    <col min="6384" max="6384" width="5.19921875" style="38" customWidth="1"/>
    <col min="6385" max="6385" width="10.69921875" style="38" customWidth="1"/>
    <col min="6386" max="6386" width="26.19921875" style="38" customWidth="1"/>
    <col min="6387" max="6387" width="25.69921875" style="38" customWidth="1"/>
    <col min="6388" max="6388" width="24.59765625" style="38" customWidth="1"/>
    <col min="6389" max="6389" width="19.19921875" style="38" customWidth="1"/>
    <col min="6390" max="6390" width="10.09765625" style="38" customWidth="1"/>
    <col min="6391" max="6636" width="8.796875" style="38"/>
    <col min="6637" max="6637" width="10.8984375" style="38" customWidth="1"/>
    <col min="6638" max="6638" width="17.3984375" style="38" customWidth="1"/>
    <col min="6639" max="6639" width="6.3984375" style="38" customWidth="1"/>
    <col min="6640" max="6640" width="5.19921875" style="38" customWidth="1"/>
    <col min="6641" max="6641" width="10.69921875" style="38" customWidth="1"/>
    <col min="6642" max="6642" width="26.19921875" style="38" customWidth="1"/>
    <col min="6643" max="6643" width="25.69921875" style="38" customWidth="1"/>
    <col min="6644" max="6644" width="24.59765625" style="38" customWidth="1"/>
    <col min="6645" max="6645" width="19.19921875" style="38" customWidth="1"/>
    <col min="6646" max="6646" width="10.09765625" style="38" customWidth="1"/>
    <col min="6647" max="6892" width="8.796875" style="38"/>
    <col min="6893" max="6893" width="10.8984375" style="38" customWidth="1"/>
    <col min="6894" max="6894" width="17.3984375" style="38" customWidth="1"/>
    <col min="6895" max="6895" width="6.3984375" style="38" customWidth="1"/>
    <col min="6896" max="6896" width="5.19921875" style="38" customWidth="1"/>
    <col min="6897" max="6897" width="10.69921875" style="38" customWidth="1"/>
    <col min="6898" max="6898" width="26.19921875" style="38" customWidth="1"/>
    <col min="6899" max="6899" width="25.69921875" style="38" customWidth="1"/>
    <col min="6900" max="6900" width="24.59765625" style="38" customWidth="1"/>
    <col min="6901" max="6901" width="19.19921875" style="38" customWidth="1"/>
    <col min="6902" max="6902" width="10.09765625" style="38" customWidth="1"/>
    <col min="6903" max="7148" width="8.796875" style="38"/>
    <col min="7149" max="7149" width="10.8984375" style="38" customWidth="1"/>
    <col min="7150" max="7150" width="17.3984375" style="38" customWidth="1"/>
    <col min="7151" max="7151" width="6.3984375" style="38" customWidth="1"/>
    <col min="7152" max="7152" width="5.19921875" style="38" customWidth="1"/>
    <col min="7153" max="7153" width="10.69921875" style="38" customWidth="1"/>
    <col min="7154" max="7154" width="26.19921875" style="38" customWidth="1"/>
    <col min="7155" max="7155" width="25.69921875" style="38" customWidth="1"/>
    <col min="7156" max="7156" width="24.59765625" style="38" customWidth="1"/>
    <col min="7157" max="7157" width="19.19921875" style="38" customWidth="1"/>
    <col min="7158" max="7158" width="10.09765625" style="38" customWidth="1"/>
    <col min="7159" max="7404" width="8.796875" style="38"/>
    <col min="7405" max="7405" width="10.8984375" style="38" customWidth="1"/>
    <col min="7406" max="7406" width="17.3984375" style="38" customWidth="1"/>
    <col min="7407" max="7407" width="6.3984375" style="38" customWidth="1"/>
    <col min="7408" max="7408" width="5.19921875" style="38" customWidth="1"/>
    <col min="7409" max="7409" width="10.69921875" style="38" customWidth="1"/>
    <col min="7410" max="7410" width="26.19921875" style="38" customWidth="1"/>
    <col min="7411" max="7411" width="25.69921875" style="38" customWidth="1"/>
    <col min="7412" max="7412" width="24.59765625" style="38" customWidth="1"/>
    <col min="7413" max="7413" width="19.19921875" style="38" customWidth="1"/>
    <col min="7414" max="7414" width="10.09765625" style="38" customWidth="1"/>
    <col min="7415" max="7660" width="8.796875" style="38"/>
    <col min="7661" max="7661" width="10.8984375" style="38" customWidth="1"/>
    <col min="7662" max="7662" width="17.3984375" style="38" customWidth="1"/>
    <col min="7663" max="7663" width="6.3984375" style="38" customWidth="1"/>
    <col min="7664" max="7664" width="5.19921875" style="38" customWidth="1"/>
    <col min="7665" max="7665" width="10.69921875" style="38" customWidth="1"/>
    <col min="7666" max="7666" width="26.19921875" style="38" customWidth="1"/>
    <col min="7667" max="7667" width="25.69921875" style="38" customWidth="1"/>
    <col min="7668" max="7668" width="24.59765625" style="38" customWidth="1"/>
    <col min="7669" max="7669" width="19.19921875" style="38" customWidth="1"/>
    <col min="7670" max="7670" width="10.09765625" style="38" customWidth="1"/>
    <col min="7671" max="7916" width="8.796875" style="38"/>
    <col min="7917" max="7917" width="10.8984375" style="38" customWidth="1"/>
    <col min="7918" max="7918" width="17.3984375" style="38" customWidth="1"/>
    <col min="7919" max="7919" width="6.3984375" style="38" customWidth="1"/>
    <col min="7920" max="7920" width="5.19921875" style="38" customWidth="1"/>
    <col min="7921" max="7921" width="10.69921875" style="38" customWidth="1"/>
    <col min="7922" max="7922" width="26.19921875" style="38" customWidth="1"/>
    <col min="7923" max="7923" width="25.69921875" style="38" customWidth="1"/>
    <col min="7924" max="7924" width="24.59765625" style="38" customWidth="1"/>
    <col min="7925" max="7925" width="19.19921875" style="38" customWidth="1"/>
    <col min="7926" max="7926" width="10.09765625" style="38" customWidth="1"/>
    <col min="7927" max="8172" width="8.796875" style="38"/>
    <col min="8173" max="8173" width="10.8984375" style="38" customWidth="1"/>
    <col min="8174" max="8174" width="17.3984375" style="38" customWidth="1"/>
    <col min="8175" max="8175" width="6.3984375" style="38" customWidth="1"/>
    <col min="8176" max="8176" width="5.19921875" style="38" customWidth="1"/>
    <col min="8177" max="8177" width="10.69921875" style="38" customWidth="1"/>
    <col min="8178" max="8178" width="26.19921875" style="38" customWidth="1"/>
    <col min="8179" max="8179" width="25.69921875" style="38" customWidth="1"/>
    <col min="8180" max="8180" width="24.59765625" style="38" customWidth="1"/>
    <col min="8181" max="8181" width="19.19921875" style="38" customWidth="1"/>
    <col min="8182" max="8182" width="10.09765625" style="38" customWidth="1"/>
    <col min="8183" max="8428" width="8.796875" style="38"/>
    <col min="8429" max="8429" width="10.8984375" style="38" customWidth="1"/>
    <col min="8430" max="8430" width="17.3984375" style="38" customWidth="1"/>
    <col min="8431" max="8431" width="6.3984375" style="38" customWidth="1"/>
    <col min="8432" max="8432" width="5.19921875" style="38" customWidth="1"/>
    <col min="8433" max="8433" width="10.69921875" style="38" customWidth="1"/>
    <col min="8434" max="8434" width="26.19921875" style="38" customWidth="1"/>
    <col min="8435" max="8435" width="25.69921875" style="38" customWidth="1"/>
    <col min="8436" max="8436" width="24.59765625" style="38" customWidth="1"/>
    <col min="8437" max="8437" width="19.19921875" style="38" customWidth="1"/>
    <col min="8438" max="8438" width="10.09765625" style="38" customWidth="1"/>
    <col min="8439" max="8684" width="8.796875" style="38"/>
    <col min="8685" max="8685" width="10.8984375" style="38" customWidth="1"/>
    <col min="8686" max="8686" width="17.3984375" style="38" customWidth="1"/>
    <col min="8687" max="8687" width="6.3984375" style="38" customWidth="1"/>
    <col min="8688" max="8688" width="5.19921875" style="38" customWidth="1"/>
    <col min="8689" max="8689" width="10.69921875" style="38" customWidth="1"/>
    <col min="8690" max="8690" width="26.19921875" style="38" customWidth="1"/>
    <col min="8691" max="8691" width="25.69921875" style="38" customWidth="1"/>
    <col min="8692" max="8692" width="24.59765625" style="38" customWidth="1"/>
    <col min="8693" max="8693" width="19.19921875" style="38" customWidth="1"/>
    <col min="8694" max="8694" width="10.09765625" style="38" customWidth="1"/>
    <col min="8695" max="8940" width="8.796875" style="38"/>
    <col min="8941" max="8941" width="10.8984375" style="38" customWidth="1"/>
    <col min="8942" max="8942" width="17.3984375" style="38" customWidth="1"/>
    <col min="8943" max="8943" width="6.3984375" style="38" customWidth="1"/>
    <col min="8944" max="8944" width="5.19921875" style="38" customWidth="1"/>
    <col min="8945" max="8945" width="10.69921875" style="38" customWidth="1"/>
    <col min="8946" max="8946" width="26.19921875" style="38" customWidth="1"/>
    <col min="8947" max="8947" width="25.69921875" style="38" customWidth="1"/>
    <col min="8948" max="8948" width="24.59765625" style="38" customWidth="1"/>
    <col min="8949" max="8949" width="19.19921875" style="38" customWidth="1"/>
    <col min="8950" max="8950" width="10.09765625" style="38" customWidth="1"/>
    <col min="8951" max="9196" width="8.796875" style="38"/>
    <col min="9197" max="9197" width="10.8984375" style="38" customWidth="1"/>
    <col min="9198" max="9198" width="17.3984375" style="38" customWidth="1"/>
    <col min="9199" max="9199" width="6.3984375" style="38" customWidth="1"/>
    <col min="9200" max="9200" width="5.19921875" style="38" customWidth="1"/>
    <col min="9201" max="9201" width="10.69921875" style="38" customWidth="1"/>
    <col min="9202" max="9202" width="26.19921875" style="38" customWidth="1"/>
    <col min="9203" max="9203" width="25.69921875" style="38" customWidth="1"/>
    <col min="9204" max="9204" width="24.59765625" style="38" customWidth="1"/>
    <col min="9205" max="9205" width="19.19921875" style="38" customWidth="1"/>
    <col min="9206" max="9206" width="10.09765625" style="38" customWidth="1"/>
    <col min="9207" max="9452" width="8.796875" style="38"/>
    <col min="9453" max="9453" width="10.8984375" style="38" customWidth="1"/>
    <col min="9454" max="9454" width="17.3984375" style="38" customWidth="1"/>
    <col min="9455" max="9455" width="6.3984375" style="38" customWidth="1"/>
    <col min="9456" max="9456" width="5.19921875" style="38" customWidth="1"/>
    <col min="9457" max="9457" width="10.69921875" style="38" customWidth="1"/>
    <col min="9458" max="9458" width="26.19921875" style="38" customWidth="1"/>
    <col min="9459" max="9459" width="25.69921875" style="38" customWidth="1"/>
    <col min="9460" max="9460" width="24.59765625" style="38" customWidth="1"/>
    <col min="9461" max="9461" width="19.19921875" style="38" customWidth="1"/>
    <col min="9462" max="9462" width="10.09765625" style="38" customWidth="1"/>
    <col min="9463" max="9708" width="8.796875" style="38"/>
    <col min="9709" max="9709" width="10.8984375" style="38" customWidth="1"/>
    <col min="9710" max="9710" width="17.3984375" style="38" customWidth="1"/>
    <col min="9711" max="9711" width="6.3984375" style="38" customWidth="1"/>
    <col min="9712" max="9712" width="5.19921875" style="38" customWidth="1"/>
    <col min="9713" max="9713" width="10.69921875" style="38" customWidth="1"/>
    <col min="9714" max="9714" width="26.19921875" style="38" customWidth="1"/>
    <col min="9715" max="9715" width="25.69921875" style="38" customWidth="1"/>
    <col min="9716" max="9716" width="24.59765625" style="38" customWidth="1"/>
    <col min="9717" max="9717" width="19.19921875" style="38" customWidth="1"/>
    <col min="9718" max="9718" width="10.09765625" style="38" customWidth="1"/>
    <col min="9719" max="9964" width="8.796875" style="38"/>
    <col min="9965" max="9965" width="10.8984375" style="38" customWidth="1"/>
    <col min="9966" max="9966" width="17.3984375" style="38" customWidth="1"/>
    <col min="9967" max="9967" width="6.3984375" style="38" customWidth="1"/>
    <col min="9968" max="9968" width="5.19921875" style="38" customWidth="1"/>
    <col min="9969" max="9969" width="10.69921875" style="38" customWidth="1"/>
    <col min="9970" max="9970" width="26.19921875" style="38" customWidth="1"/>
    <col min="9971" max="9971" width="25.69921875" style="38" customWidth="1"/>
    <col min="9972" max="9972" width="24.59765625" style="38" customWidth="1"/>
    <col min="9973" max="9973" width="19.19921875" style="38" customWidth="1"/>
    <col min="9974" max="9974" width="10.09765625" style="38" customWidth="1"/>
    <col min="9975" max="10220" width="8.796875" style="38"/>
    <col min="10221" max="10221" width="10.8984375" style="38" customWidth="1"/>
    <col min="10222" max="10222" width="17.3984375" style="38" customWidth="1"/>
    <col min="10223" max="10223" width="6.3984375" style="38" customWidth="1"/>
    <col min="10224" max="10224" width="5.19921875" style="38" customWidth="1"/>
    <col min="10225" max="10225" width="10.69921875" style="38" customWidth="1"/>
    <col min="10226" max="10226" width="26.19921875" style="38" customWidth="1"/>
    <col min="10227" max="10227" width="25.69921875" style="38" customWidth="1"/>
    <col min="10228" max="10228" width="24.59765625" style="38" customWidth="1"/>
    <col min="10229" max="10229" width="19.19921875" style="38" customWidth="1"/>
    <col min="10230" max="10230" width="10.09765625" style="38" customWidth="1"/>
    <col min="10231" max="10476" width="8.796875" style="38"/>
    <col min="10477" max="10477" width="10.8984375" style="38" customWidth="1"/>
    <col min="10478" max="10478" width="17.3984375" style="38" customWidth="1"/>
    <col min="10479" max="10479" width="6.3984375" style="38" customWidth="1"/>
    <col min="10480" max="10480" width="5.19921875" style="38" customWidth="1"/>
    <col min="10481" max="10481" width="10.69921875" style="38" customWidth="1"/>
    <col min="10482" max="10482" width="26.19921875" style="38" customWidth="1"/>
    <col min="10483" max="10483" width="25.69921875" style="38" customWidth="1"/>
    <col min="10484" max="10484" width="24.59765625" style="38" customWidth="1"/>
    <col min="10485" max="10485" width="19.19921875" style="38" customWidth="1"/>
    <col min="10486" max="10486" width="10.09765625" style="38" customWidth="1"/>
    <col min="10487" max="10732" width="8.796875" style="38"/>
    <col min="10733" max="10733" width="10.8984375" style="38" customWidth="1"/>
    <col min="10734" max="10734" width="17.3984375" style="38" customWidth="1"/>
    <col min="10735" max="10735" width="6.3984375" style="38" customWidth="1"/>
    <col min="10736" max="10736" width="5.19921875" style="38" customWidth="1"/>
    <col min="10737" max="10737" width="10.69921875" style="38" customWidth="1"/>
    <col min="10738" max="10738" width="26.19921875" style="38" customWidth="1"/>
    <col min="10739" max="10739" width="25.69921875" style="38" customWidth="1"/>
    <col min="10740" max="10740" width="24.59765625" style="38" customWidth="1"/>
    <col min="10741" max="10741" width="19.19921875" style="38" customWidth="1"/>
    <col min="10742" max="10742" width="10.09765625" style="38" customWidth="1"/>
    <col min="10743" max="10988" width="8.796875" style="38"/>
    <col min="10989" max="10989" width="10.8984375" style="38" customWidth="1"/>
    <col min="10990" max="10990" width="17.3984375" style="38" customWidth="1"/>
    <col min="10991" max="10991" width="6.3984375" style="38" customWidth="1"/>
    <col min="10992" max="10992" width="5.19921875" style="38" customWidth="1"/>
    <col min="10993" max="10993" width="10.69921875" style="38" customWidth="1"/>
    <col min="10994" max="10994" width="26.19921875" style="38" customWidth="1"/>
    <col min="10995" max="10995" width="25.69921875" style="38" customWidth="1"/>
    <col min="10996" max="10996" width="24.59765625" style="38" customWidth="1"/>
    <col min="10997" max="10997" width="19.19921875" style="38" customWidth="1"/>
    <col min="10998" max="10998" width="10.09765625" style="38" customWidth="1"/>
    <col min="10999" max="11244" width="8.796875" style="38"/>
    <col min="11245" max="11245" width="10.8984375" style="38" customWidth="1"/>
    <col min="11246" max="11246" width="17.3984375" style="38" customWidth="1"/>
    <col min="11247" max="11247" width="6.3984375" style="38" customWidth="1"/>
    <col min="11248" max="11248" width="5.19921875" style="38" customWidth="1"/>
    <col min="11249" max="11249" width="10.69921875" style="38" customWidth="1"/>
    <col min="11250" max="11250" width="26.19921875" style="38" customWidth="1"/>
    <col min="11251" max="11251" width="25.69921875" style="38" customWidth="1"/>
    <col min="11252" max="11252" width="24.59765625" style="38" customWidth="1"/>
    <col min="11253" max="11253" width="19.19921875" style="38" customWidth="1"/>
    <col min="11254" max="11254" width="10.09765625" style="38" customWidth="1"/>
    <col min="11255" max="11500" width="8.796875" style="38"/>
    <col min="11501" max="11501" width="10.8984375" style="38" customWidth="1"/>
    <col min="11502" max="11502" width="17.3984375" style="38" customWidth="1"/>
    <col min="11503" max="11503" width="6.3984375" style="38" customWidth="1"/>
    <col min="11504" max="11504" width="5.19921875" style="38" customWidth="1"/>
    <col min="11505" max="11505" width="10.69921875" style="38" customWidth="1"/>
    <col min="11506" max="11506" width="26.19921875" style="38" customWidth="1"/>
    <col min="11507" max="11507" width="25.69921875" style="38" customWidth="1"/>
    <col min="11508" max="11508" width="24.59765625" style="38" customWidth="1"/>
    <col min="11509" max="11509" width="19.19921875" style="38" customWidth="1"/>
    <col min="11510" max="11510" width="10.09765625" style="38" customWidth="1"/>
    <col min="11511" max="11756" width="8.796875" style="38"/>
    <col min="11757" max="11757" width="10.8984375" style="38" customWidth="1"/>
    <col min="11758" max="11758" width="17.3984375" style="38" customWidth="1"/>
    <col min="11759" max="11759" width="6.3984375" style="38" customWidth="1"/>
    <col min="11760" max="11760" width="5.19921875" style="38" customWidth="1"/>
    <col min="11761" max="11761" width="10.69921875" style="38" customWidth="1"/>
    <col min="11762" max="11762" width="26.19921875" style="38" customWidth="1"/>
    <col min="11763" max="11763" width="25.69921875" style="38" customWidth="1"/>
    <col min="11764" max="11764" width="24.59765625" style="38" customWidth="1"/>
    <col min="11765" max="11765" width="19.19921875" style="38" customWidth="1"/>
    <col min="11766" max="11766" width="10.09765625" style="38" customWidth="1"/>
    <col min="11767" max="12012" width="8.796875" style="38"/>
    <col min="12013" max="12013" width="10.8984375" style="38" customWidth="1"/>
    <col min="12014" max="12014" width="17.3984375" style="38" customWidth="1"/>
    <col min="12015" max="12015" width="6.3984375" style="38" customWidth="1"/>
    <col min="12016" max="12016" width="5.19921875" style="38" customWidth="1"/>
    <col min="12017" max="12017" width="10.69921875" style="38" customWidth="1"/>
    <col min="12018" max="12018" width="26.19921875" style="38" customWidth="1"/>
    <col min="12019" max="12019" width="25.69921875" style="38" customWidth="1"/>
    <col min="12020" max="12020" width="24.59765625" style="38" customWidth="1"/>
    <col min="12021" max="12021" width="19.19921875" style="38" customWidth="1"/>
    <col min="12022" max="12022" width="10.09765625" style="38" customWidth="1"/>
    <col min="12023" max="12268" width="8.796875" style="38"/>
    <col min="12269" max="12269" width="10.8984375" style="38" customWidth="1"/>
    <col min="12270" max="12270" width="17.3984375" style="38" customWidth="1"/>
    <col min="12271" max="12271" width="6.3984375" style="38" customWidth="1"/>
    <col min="12272" max="12272" width="5.19921875" style="38" customWidth="1"/>
    <col min="12273" max="12273" width="10.69921875" style="38" customWidth="1"/>
    <col min="12274" max="12274" width="26.19921875" style="38" customWidth="1"/>
    <col min="12275" max="12275" width="25.69921875" style="38" customWidth="1"/>
    <col min="12276" max="12276" width="24.59765625" style="38" customWidth="1"/>
    <col min="12277" max="12277" width="19.19921875" style="38" customWidth="1"/>
    <col min="12278" max="12278" width="10.09765625" style="38" customWidth="1"/>
    <col min="12279" max="12524" width="8.796875" style="38"/>
    <col min="12525" max="12525" width="10.8984375" style="38" customWidth="1"/>
    <col min="12526" max="12526" width="17.3984375" style="38" customWidth="1"/>
    <col min="12527" max="12527" width="6.3984375" style="38" customWidth="1"/>
    <col min="12528" max="12528" width="5.19921875" style="38" customWidth="1"/>
    <col min="12529" max="12529" width="10.69921875" style="38" customWidth="1"/>
    <col min="12530" max="12530" width="26.19921875" style="38" customWidth="1"/>
    <col min="12531" max="12531" width="25.69921875" style="38" customWidth="1"/>
    <col min="12532" max="12532" width="24.59765625" style="38" customWidth="1"/>
    <col min="12533" max="12533" width="19.19921875" style="38" customWidth="1"/>
    <col min="12534" max="12534" width="10.09765625" style="38" customWidth="1"/>
    <col min="12535" max="12780" width="8.796875" style="38"/>
    <col min="12781" max="12781" width="10.8984375" style="38" customWidth="1"/>
    <col min="12782" max="12782" width="17.3984375" style="38" customWidth="1"/>
    <col min="12783" max="12783" width="6.3984375" style="38" customWidth="1"/>
    <col min="12784" max="12784" width="5.19921875" style="38" customWidth="1"/>
    <col min="12785" max="12785" width="10.69921875" style="38" customWidth="1"/>
    <col min="12786" max="12786" width="26.19921875" style="38" customWidth="1"/>
    <col min="12787" max="12787" width="25.69921875" style="38" customWidth="1"/>
    <col min="12788" max="12788" width="24.59765625" style="38" customWidth="1"/>
    <col min="12789" max="12789" width="19.19921875" style="38" customWidth="1"/>
    <col min="12790" max="12790" width="10.09765625" style="38" customWidth="1"/>
    <col min="12791" max="13036" width="8.796875" style="38"/>
    <col min="13037" max="13037" width="10.8984375" style="38" customWidth="1"/>
    <col min="13038" max="13038" width="17.3984375" style="38" customWidth="1"/>
    <col min="13039" max="13039" width="6.3984375" style="38" customWidth="1"/>
    <col min="13040" max="13040" width="5.19921875" style="38" customWidth="1"/>
    <col min="13041" max="13041" width="10.69921875" style="38" customWidth="1"/>
    <col min="13042" max="13042" width="26.19921875" style="38" customWidth="1"/>
    <col min="13043" max="13043" width="25.69921875" style="38" customWidth="1"/>
    <col min="13044" max="13044" width="24.59765625" style="38" customWidth="1"/>
    <col min="13045" max="13045" width="19.19921875" style="38" customWidth="1"/>
    <col min="13046" max="13046" width="10.09765625" style="38" customWidth="1"/>
    <col min="13047" max="13292" width="8.796875" style="38"/>
    <col min="13293" max="13293" width="10.8984375" style="38" customWidth="1"/>
    <col min="13294" max="13294" width="17.3984375" style="38" customWidth="1"/>
    <col min="13295" max="13295" width="6.3984375" style="38" customWidth="1"/>
    <col min="13296" max="13296" width="5.19921875" style="38" customWidth="1"/>
    <col min="13297" max="13297" width="10.69921875" style="38" customWidth="1"/>
    <col min="13298" max="13298" width="26.19921875" style="38" customWidth="1"/>
    <col min="13299" max="13299" width="25.69921875" style="38" customWidth="1"/>
    <col min="13300" max="13300" width="24.59765625" style="38" customWidth="1"/>
    <col min="13301" max="13301" width="19.19921875" style="38" customWidth="1"/>
    <col min="13302" max="13302" width="10.09765625" style="38" customWidth="1"/>
    <col min="13303" max="13548" width="8.796875" style="38"/>
    <col min="13549" max="13549" width="10.8984375" style="38" customWidth="1"/>
    <col min="13550" max="13550" width="17.3984375" style="38" customWidth="1"/>
    <col min="13551" max="13551" width="6.3984375" style="38" customWidth="1"/>
    <col min="13552" max="13552" width="5.19921875" style="38" customWidth="1"/>
    <col min="13553" max="13553" width="10.69921875" style="38" customWidth="1"/>
    <col min="13554" max="13554" width="26.19921875" style="38" customWidth="1"/>
    <col min="13555" max="13555" width="25.69921875" style="38" customWidth="1"/>
    <col min="13556" max="13556" width="24.59765625" style="38" customWidth="1"/>
    <col min="13557" max="13557" width="19.19921875" style="38" customWidth="1"/>
    <col min="13558" max="13558" width="10.09765625" style="38" customWidth="1"/>
    <col min="13559" max="13804" width="8.796875" style="38"/>
    <col min="13805" max="13805" width="10.8984375" style="38" customWidth="1"/>
    <col min="13806" max="13806" width="17.3984375" style="38" customWidth="1"/>
    <col min="13807" max="13807" width="6.3984375" style="38" customWidth="1"/>
    <col min="13808" max="13808" width="5.19921875" style="38" customWidth="1"/>
    <col min="13809" max="13809" width="10.69921875" style="38" customWidth="1"/>
    <col min="13810" max="13810" width="26.19921875" style="38" customWidth="1"/>
    <col min="13811" max="13811" width="25.69921875" style="38" customWidth="1"/>
    <col min="13812" max="13812" width="24.59765625" style="38" customWidth="1"/>
    <col min="13813" max="13813" width="19.19921875" style="38" customWidth="1"/>
    <col min="13814" max="13814" width="10.09765625" style="38" customWidth="1"/>
    <col min="13815" max="14060" width="8.796875" style="38"/>
    <col min="14061" max="14061" width="10.8984375" style="38" customWidth="1"/>
    <col min="14062" max="14062" width="17.3984375" style="38" customWidth="1"/>
    <col min="14063" max="14063" width="6.3984375" style="38" customWidth="1"/>
    <col min="14064" max="14064" width="5.19921875" style="38" customWidth="1"/>
    <col min="14065" max="14065" width="10.69921875" style="38" customWidth="1"/>
    <col min="14066" max="14066" width="26.19921875" style="38" customWidth="1"/>
    <col min="14067" max="14067" width="25.69921875" style="38" customWidth="1"/>
    <col min="14068" max="14068" width="24.59765625" style="38" customWidth="1"/>
    <col min="14069" max="14069" width="19.19921875" style="38" customWidth="1"/>
    <col min="14070" max="14070" width="10.09765625" style="38" customWidth="1"/>
    <col min="14071" max="14316" width="8.796875" style="38"/>
    <col min="14317" max="14317" width="10.8984375" style="38" customWidth="1"/>
    <col min="14318" max="14318" width="17.3984375" style="38" customWidth="1"/>
    <col min="14319" max="14319" width="6.3984375" style="38" customWidth="1"/>
    <col min="14320" max="14320" width="5.19921875" style="38" customWidth="1"/>
    <col min="14321" max="14321" width="10.69921875" style="38" customWidth="1"/>
    <col min="14322" max="14322" width="26.19921875" style="38" customWidth="1"/>
    <col min="14323" max="14323" width="25.69921875" style="38" customWidth="1"/>
    <col min="14324" max="14324" width="24.59765625" style="38" customWidth="1"/>
    <col min="14325" max="14325" width="19.19921875" style="38" customWidth="1"/>
    <col min="14326" max="14326" width="10.09765625" style="38" customWidth="1"/>
    <col min="14327" max="14572" width="8.796875" style="38"/>
    <col min="14573" max="14573" width="10.8984375" style="38" customWidth="1"/>
    <col min="14574" max="14574" width="17.3984375" style="38" customWidth="1"/>
    <col min="14575" max="14575" width="6.3984375" style="38" customWidth="1"/>
    <col min="14576" max="14576" width="5.19921875" style="38" customWidth="1"/>
    <col min="14577" max="14577" width="10.69921875" style="38" customWidth="1"/>
    <col min="14578" max="14578" width="26.19921875" style="38" customWidth="1"/>
    <col min="14579" max="14579" width="25.69921875" style="38" customWidth="1"/>
    <col min="14580" max="14580" width="24.59765625" style="38" customWidth="1"/>
    <col min="14581" max="14581" width="19.19921875" style="38" customWidth="1"/>
    <col min="14582" max="14582" width="10.09765625" style="38" customWidth="1"/>
    <col min="14583" max="14828" width="8.796875" style="38"/>
    <col min="14829" max="14829" width="10.8984375" style="38" customWidth="1"/>
    <col min="14830" max="14830" width="17.3984375" style="38" customWidth="1"/>
    <col min="14831" max="14831" width="6.3984375" style="38" customWidth="1"/>
    <col min="14832" max="14832" width="5.19921875" style="38" customWidth="1"/>
    <col min="14833" max="14833" width="10.69921875" style="38" customWidth="1"/>
    <col min="14834" max="14834" width="26.19921875" style="38" customWidth="1"/>
    <col min="14835" max="14835" width="25.69921875" style="38" customWidth="1"/>
    <col min="14836" max="14836" width="24.59765625" style="38" customWidth="1"/>
    <col min="14837" max="14837" width="19.19921875" style="38" customWidth="1"/>
    <col min="14838" max="14838" width="10.09765625" style="38" customWidth="1"/>
    <col min="14839" max="15084" width="8.796875" style="38"/>
    <col min="15085" max="15085" width="10.8984375" style="38" customWidth="1"/>
    <col min="15086" max="15086" width="17.3984375" style="38" customWidth="1"/>
    <col min="15087" max="15087" width="6.3984375" style="38" customWidth="1"/>
    <col min="15088" max="15088" width="5.19921875" style="38" customWidth="1"/>
    <col min="15089" max="15089" width="10.69921875" style="38" customWidth="1"/>
    <col min="15090" max="15090" width="26.19921875" style="38" customWidth="1"/>
    <col min="15091" max="15091" width="25.69921875" style="38" customWidth="1"/>
    <col min="15092" max="15092" width="24.59765625" style="38" customWidth="1"/>
    <col min="15093" max="15093" width="19.19921875" style="38" customWidth="1"/>
    <col min="15094" max="15094" width="10.09765625" style="38" customWidth="1"/>
    <col min="15095" max="15340" width="8.796875" style="38"/>
    <col min="15341" max="15341" width="10.8984375" style="38" customWidth="1"/>
    <col min="15342" max="15342" width="17.3984375" style="38" customWidth="1"/>
    <col min="15343" max="15343" width="6.3984375" style="38" customWidth="1"/>
    <col min="15344" max="15344" width="5.19921875" style="38" customWidth="1"/>
    <col min="15345" max="15345" width="10.69921875" style="38" customWidth="1"/>
    <col min="15346" max="15346" width="26.19921875" style="38" customWidth="1"/>
    <col min="15347" max="15347" width="25.69921875" style="38" customWidth="1"/>
    <col min="15348" max="15348" width="24.59765625" style="38" customWidth="1"/>
    <col min="15349" max="15349" width="19.19921875" style="38" customWidth="1"/>
    <col min="15350" max="15350" width="10.09765625" style="38" customWidth="1"/>
    <col min="15351" max="15596" width="8.796875" style="38"/>
    <col min="15597" max="15597" width="10.8984375" style="38" customWidth="1"/>
    <col min="15598" max="15598" width="17.3984375" style="38" customWidth="1"/>
    <col min="15599" max="15599" width="6.3984375" style="38" customWidth="1"/>
    <col min="15600" max="15600" width="5.19921875" style="38" customWidth="1"/>
    <col min="15601" max="15601" width="10.69921875" style="38" customWidth="1"/>
    <col min="15602" max="15602" width="26.19921875" style="38" customWidth="1"/>
    <col min="15603" max="15603" width="25.69921875" style="38" customWidth="1"/>
    <col min="15604" max="15604" width="24.59765625" style="38" customWidth="1"/>
    <col min="15605" max="15605" width="19.19921875" style="38" customWidth="1"/>
    <col min="15606" max="15606" width="10.09765625" style="38" customWidth="1"/>
    <col min="15607" max="15852" width="8.796875" style="38"/>
    <col min="15853" max="15853" width="10.8984375" style="38" customWidth="1"/>
    <col min="15854" max="15854" width="17.3984375" style="38" customWidth="1"/>
    <col min="15855" max="15855" width="6.3984375" style="38" customWidth="1"/>
    <col min="15856" max="15856" width="5.19921875" style="38" customWidth="1"/>
    <col min="15857" max="15857" width="10.69921875" style="38" customWidth="1"/>
    <col min="15858" max="15858" width="26.19921875" style="38" customWidth="1"/>
    <col min="15859" max="15859" width="25.69921875" style="38" customWidth="1"/>
    <col min="15860" max="15860" width="24.59765625" style="38" customWidth="1"/>
    <col min="15861" max="15861" width="19.19921875" style="38" customWidth="1"/>
    <col min="15862" max="15862" width="10.09765625" style="38" customWidth="1"/>
    <col min="15863" max="16108" width="8.796875" style="38"/>
    <col min="16109" max="16109" width="10.8984375" style="38" customWidth="1"/>
    <col min="16110" max="16110" width="17.3984375" style="38" customWidth="1"/>
    <col min="16111" max="16111" width="6.3984375" style="38" customWidth="1"/>
    <col min="16112" max="16112" width="5.19921875" style="38" customWidth="1"/>
    <col min="16113" max="16113" width="10.69921875" style="38" customWidth="1"/>
    <col min="16114" max="16114" width="26.19921875" style="38" customWidth="1"/>
    <col min="16115" max="16115" width="25.69921875" style="38" customWidth="1"/>
    <col min="16116" max="16116" width="24.59765625" style="38" customWidth="1"/>
    <col min="16117" max="16117" width="19.19921875" style="38" customWidth="1"/>
    <col min="16118" max="16118" width="10.09765625" style="38" customWidth="1"/>
    <col min="16119" max="16384" width="8.796875" style="38"/>
  </cols>
  <sheetData>
    <row r="1" spans="1:6" x14ac:dyDescent="0.35">
      <c r="A1" s="37"/>
      <c r="B1" s="37"/>
      <c r="C1" s="37"/>
      <c r="D1" s="37"/>
      <c r="E1" s="37"/>
      <c r="F1" s="37"/>
    </row>
    <row r="2" spans="1:6" ht="36" x14ac:dyDescent="0.75">
      <c r="A2" s="63" t="s">
        <v>1803</v>
      </c>
      <c r="B2" s="63"/>
      <c r="C2" s="63"/>
      <c r="D2" s="63"/>
      <c r="E2" s="63"/>
      <c r="F2" s="63"/>
    </row>
    <row r="3" spans="1:6" x14ac:dyDescent="0.35">
      <c r="A3" s="37"/>
      <c r="B3" s="37"/>
      <c r="C3" s="37"/>
      <c r="D3" s="37"/>
      <c r="E3" s="37"/>
      <c r="F3" s="37"/>
    </row>
    <row r="4" spans="1:6" ht="15.6" x14ac:dyDescent="0.35">
      <c r="A4" s="37"/>
      <c r="B4" s="37"/>
      <c r="C4" s="37"/>
      <c r="D4" s="37"/>
      <c r="E4" s="37"/>
      <c r="F4" s="39" t="s">
        <v>1804</v>
      </c>
    </row>
    <row r="5" spans="1:6" ht="15.6" x14ac:dyDescent="0.35">
      <c r="A5" s="37"/>
      <c r="B5" s="37"/>
      <c r="C5" s="37"/>
      <c r="D5" s="37"/>
      <c r="E5" s="37"/>
      <c r="F5" s="39" t="s">
        <v>1805</v>
      </c>
    </row>
    <row r="6" spans="1:6" ht="15" x14ac:dyDescent="0.35">
      <c r="A6" s="37"/>
      <c r="B6" s="37"/>
      <c r="C6" s="37"/>
      <c r="D6" s="37"/>
      <c r="E6" s="37"/>
      <c r="F6" s="40" t="s">
        <v>1806</v>
      </c>
    </row>
    <row r="7" spans="1:6" x14ac:dyDescent="0.35">
      <c r="A7" s="37"/>
      <c r="B7" s="37"/>
      <c r="C7" s="37"/>
      <c r="D7" s="37"/>
      <c r="E7" s="37"/>
      <c r="F7" s="41" t="s">
        <v>1807</v>
      </c>
    </row>
    <row r="8" spans="1:6" x14ac:dyDescent="0.35">
      <c r="A8" s="37"/>
      <c r="B8" s="37"/>
      <c r="C8" s="37"/>
      <c r="D8" s="37"/>
      <c r="E8" s="37"/>
      <c r="F8" s="41" t="s">
        <v>1808</v>
      </c>
    </row>
    <row r="9" spans="1:6" ht="17.399999999999999" x14ac:dyDescent="0.4">
      <c r="A9" s="41" t="s">
        <v>1846</v>
      </c>
      <c r="B9" s="37"/>
      <c r="C9" s="37"/>
      <c r="D9" s="37"/>
      <c r="E9" s="37"/>
      <c r="F9" s="42" t="s">
        <v>1809</v>
      </c>
    </row>
    <row r="10" spans="1:6" ht="15.6" x14ac:dyDescent="0.35">
      <c r="A10" s="37" t="s">
        <v>1847</v>
      </c>
      <c r="B10" s="43"/>
      <c r="C10" s="37"/>
      <c r="D10" s="37"/>
      <c r="E10" s="37"/>
      <c r="F10" s="37"/>
    </row>
    <row r="11" spans="1:6" ht="15.6" x14ac:dyDescent="0.35">
      <c r="A11" s="37" t="s">
        <v>1848</v>
      </c>
      <c r="B11" s="37"/>
      <c r="C11" s="37"/>
      <c r="D11" s="37"/>
      <c r="E11" s="37"/>
      <c r="F11" s="37" t="s">
        <v>1810</v>
      </c>
    </row>
    <row r="12" spans="1:6" ht="15.6" x14ac:dyDescent="0.35">
      <c r="A12" s="37"/>
      <c r="B12" s="37"/>
      <c r="C12" s="37"/>
      <c r="D12" s="37"/>
      <c r="E12" s="37"/>
      <c r="F12" s="37" t="s">
        <v>1811</v>
      </c>
    </row>
    <row r="13" spans="1:6" ht="15.6" x14ac:dyDescent="0.35">
      <c r="A13" s="37" t="s">
        <v>1835</v>
      </c>
      <c r="B13" s="37"/>
      <c r="C13" s="37"/>
      <c r="D13" s="37"/>
      <c r="E13" s="37"/>
      <c r="F13" s="44"/>
    </row>
    <row r="14" spans="1:6" ht="15.6" x14ac:dyDescent="0.35">
      <c r="A14" s="37" t="s">
        <v>1812</v>
      </c>
      <c r="B14" s="37"/>
      <c r="C14" s="37"/>
      <c r="D14" s="37"/>
      <c r="E14" s="37" t="s">
        <v>1813</v>
      </c>
      <c r="F14" s="37" t="s">
        <v>1814</v>
      </c>
    </row>
    <row r="15" spans="1:6" ht="15.6" x14ac:dyDescent="0.35">
      <c r="A15" s="37" t="s">
        <v>1815</v>
      </c>
      <c r="B15" s="37"/>
      <c r="C15" s="37"/>
      <c r="D15" s="37"/>
      <c r="E15" s="37" t="s">
        <v>1816</v>
      </c>
      <c r="F15" s="37" t="s">
        <v>1817</v>
      </c>
    </row>
    <row r="16" spans="1:6" ht="15.6" x14ac:dyDescent="0.35">
      <c r="A16" s="37" t="s">
        <v>1836</v>
      </c>
      <c r="B16" s="37"/>
      <c r="C16" s="37"/>
      <c r="D16" s="37"/>
      <c r="E16" s="37" t="s">
        <v>1818</v>
      </c>
      <c r="F16" s="37" t="s">
        <v>1819</v>
      </c>
    </row>
    <row r="17" spans="1:6" x14ac:dyDescent="0.35">
      <c r="A17" s="37" t="s">
        <v>1837</v>
      </c>
      <c r="B17" s="37"/>
      <c r="C17" s="37"/>
      <c r="D17" s="37"/>
      <c r="E17" s="37" t="s">
        <v>1820</v>
      </c>
      <c r="F17" s="37"/>
    </row>
    <row r="18" spans="1:6" x14ac:dyDescent="0.35">
      <c r="A18" s="37"/>
      <c r="B18" s="37"/>
      <c r="C18" s="37"/>
      <c r="D18" s="37"/>
      <c r="E18" s="37"/>
      <c r="F18" s="37"/>
    </row>
    <row r="19" spans="1:6" x14ac:dyDescent="0.35">
      <c r="A19" s="37"/>
      <c r="B19" s="37"/>
      <c r="C19" s="37"/>
      <c r="D19" s="37"/>
      <c r="E19" s="37"/>
      <c r="F19" s="37"/>
    </row>
    <row r="20" spans="1:6" ht="15.6" x14ac:dyDescent="0.35">
      <c r="A20" s="45" t="s">
        <v>1821</v>
      </c>
      <c r="B20" s="45" t="s">
        <v>1822</v>
      </c>
      <c r="C20" s="46" t="s">
        <v>1823</v>
      </c>
      <c r="D20" s="46" t="s">
        <v>1824</v>
      </c>
      <c r="E20" s="46" t="s">
        <v>1825</v>
      </c>
      <c r="F20" s="46" t="s">
        <v>1826</v>
      </c>
    </row>
    <row r="21" spans="1:6" ht="19.5" customHeight="1" x14ac:dyDescent="0.35">
      <c r="A21" s="47"/>
      <c r="B21" s="48"/>
      <c r="C21" s="49"/>
      <c r="D21" s="49"/>
      <c r="E21" s="50"/>
      <c r="F21" s="50">
        <f t="shared" ref="F21" si="0">D21*E21</f>
        <v>0</v>
      </c>
    </row>
    <row r="22" spans="1:6" ht="19.5" customHeight="1" x14ac:dyDescent="0.35">
      <c r="A22" s="51"/>
      <c r="B22" s="52"/>
      <c r="C22" s="53"/>
      <c r="D22" s="53"/>
      <c r="E22" s="54"/>
      <c r="F22" s="54"/>
    </row>
    <row r="23" spans="1:6" ht="19.5" customHeight="1" x14ac:dyDescent="0.35">
      <c r="A23" s="51"/>
      <c r="B23" s="52"/>
      <c r="C23" s="53"/>
      <c r="D23" s="53"/>
      <c r="E23" s="54"/>
      <c r="F23" s="54"/>
    </row>
    <row r="24" spans="1:6" ht="19.5" customHeight="1" x14ac:dyDescent="0.35">
      <c r="A24" s="51"/>
      <c r="B24" s="52"/>
      <c r="C24" s="53"/>
      <c r="D24" s="53"/>
      <c r="E24" s="54"/>
      <c r="F24" s="54"/>
    </row>
    <row r="25" spans="1:6" ht="19.5" customHeight="1" x14ac:dyDescent="0.35">
      <c r="A25" s="51"/>
      <c r="B25" s="52"/>
      <c r="C25" s="53"/>
      <c r="D25" s="53"/>
      <c r="E25" s="54"/>
      <c r="F25" s="54"/>
    </row>
    <row r="26" spans="1:6" ht="19.5" customHeight="1" x14ac:dyDescent="0.35">
      <c r="A26" s="51"/>
      <c r="B26" s="52"/>
      <c r="C26" s="53"/>
      <c r="D26" s="53"/>
      <c r="E26" s="54"/>
      <c r="F26" s="54"/>
    </row>
    <row r="27" spans="1:6" ht="19.5" customHeight="1" x14ac:dyDescent="0.35">
      <c r="A27" s="51"/>
      <c r="B27" s="52"/>
      <c r="C27" s="53"/>
      <c r="D27" s="53"/>
      <c r="E27" s="54"/>
      <c r="F27" s="54"/>
    </row>
    <row r="28" spans="1:6" ht="19.5" customHeight="1" x14ac:dyDescent="0.35">
      <c r="A28" s="51"/>
      <c r="B28" s="52"/>
      <c r="C28" s="53"/>
      <c r="D28" s="53"/>
      <c r="E28" s="54"/>
      <c r="F28" s="54"/>
    </row>
    <row r="29" spans="1:6" ht="19.5" customHeight="1" x14ac:dyDescent="0.35">
      <c r="A29" s="51"/>
      <c r="B29" s="52"/>
      <c r="C29" s="53"/>
      <c r="D29" s="53"/>
      <c r="E29" s="54"/>
      <c r="F29" s="54"/>
    </row>
    <row r="30" spans="1:6" ht="19.5" customHeight="1" x14ac:dyDescent="0.35">
      <c r="A30" s="51"/>
      <c r="B30" s="52"/>
      <c r="C30" s="53"/>
      <c r="D30" s="53"/>
      <c r="E30" s="54"/>
      <c r="F30" s="54"/>
    </row>
    <row r="31" spans="1:6" ht="19.5" customHeight="1" x14ac:dyDescent="0.35">
      <c r="A31" s="51"/>
      <c r="B31" s="52"/>
      <c r="C31" s="53"/>
      <c r="D31" s="53"/>
      <c r="E31" s="54"/>
      <c r="F31" s="54"/>
    </row>
    <row r="32" spans="1:6" ht="19.5" customHeight="1" x14ac:dyDescent="0.35">
      <c r="A32" s="51"/>
      <c r="B32" s="52"/>
      <c r="C32" s="53"/>
      <c r="D32" s="53"/>
      <c r="E32" s="54"/>
      <c r="F32" s="54"/>
    </row>
    <row r="33" spans="1:6" ht="19.5" customHeight="1" x14ac:dyDescent="0.35">
      <c r="A33" s="51"/>
      <c r="B33" s="52"/>
      <c r="C33" s="53"/>
      <c r="D33" s="53"/>
      <c r="E33" s="54"/>
      <c r="F33" s="54"/>
    </row>
    <row r="34" spans="1:6" ht="15.6" x14ac:dyDescent="0.35">
      <c r="A34" s="55"/>
      <c r="B34" s="56"/>
      <c r="C34" s="37"/>
      <c r="D34" s="37"/>
      <c r="E34" s="45" t="s">
        <v>1827</v>
      </c>
      <c r="F34" s="57">
        <f>SUM(F21:F21)</f>
        <v>0</v>
      </c>
    </row>
    <row r="35" spans="1:6" ht="15.6" x14ac:dyDescent="0.35">
      <c r="A35" s="55"/>
      <c r="B35" s="56"/>
      <c r="C35" s="37"/>
      <c r="D35" s="37"/>
      <c r="E35" s="46" t="s">
        <v>1828</v>
      </c>
      <c r="F35" s="57">
        <f>F34*0.1</f>
        <v>0</v>
      </c>
    </row>
    <row r="36" spans="1:6" ht="15.6" x14ac:dyDescent="0.35">
      <c r="A36" s="55"/>
      <c r="B36" s="56"/>
      <c r="C36" s="37"/>
      <c r="D36" s="37"/>
      <c r="E36" s="45" t="s">
        <v>1829</v>
      </c>
      <c r="F36" s="57">
        <f>F34+F35</f>
        <v>0</v>
      </c>
    </row>
    <row r="37" spans="1:6" ht="15.6" x14ac:dyDescent="0.35">
      <c r="A37" s="55"/>
      <c r="B37" s="37"/>
      <c r="C37" s="37"/>
      <c r="D37" s="37"/>
      <c r="E37" s="58"/>
      <c r="F37" s="59" t="s">
        <v>1830</v>
      </c>
    </row>
    <row r="38" spans="1:6" x14ac:dyDescent="0.35">
      <c r="A38" s="55"/>
      <c r="B38" s="37"/>
      <c r="C38" s="37"/>
      <c r="D38" s="37"/>
      <c r="E38" s="58"/>
      <c r="F38" s="59"/>
    </row>
    <row r="39" spans="1:6" x14ac:dyDescent="0.35">
      <c r="A39" s="55"/>
      <c r="B39" s="37"/>
      <c r="C39" s="37"/>
      <c r="D39" s="37"/>
      <c r="E39" s="58"/>
      <c r="F39" s="59"/>
    </row>
    <row r="40" spans="1:6" ht="15.6" x14ac:dyDescent="0.35">
      <c r="A40" s="55" t="s">
        <v>1831</v>
      </c>
      <c r="B40" s="37"/>
      <c r="C40" s="37"/>
      <c r="D40" s="37"/>
      <c r="E40" s="58"/>
      <c r="F40" s="58"/>
    </row>
    <row r="41" spans="1:6" ht="15.6" x14ac:dyDescent="0.35">
      <c r="A41" s="55" t="s">
        <v>1832</v>
      </c>
      <c r="B41" s="56"/>
      <c r="C41" s="37"/>
      <c r="D41" s="37"/>
      <c r="E41" s="37"/>
      <c r="F41" s="58"/>
    </row>
    <row r="42" spans="1:6" ht="15.6" x14ac:dyDescent="0.35">
      <c r="A42" s="55" t="s">
        <v>1833</v>
      </c>
      <c r="B42" s="56"/>
      <c r="C42" s="37"/>
      <c r="D42" s="37"/>
      <c r="E42" s="37"/>
      <c r="F42" s="58"/>
    </row>
    <row r="43" spans="1:6" ht="15.6" x14ac:dyDescent="0.35">
      <c r="A43" s="55" t="s">
        <v>1834</v>
      </c>
      <c r="B43" s="56"/>
      <c r="C43" s="37"/>
      <c r="D43" s="37"/>
      <c r="E43" s="37"/>
      <c r="F43" s="58"/>
    </row>
    <row r="44" spans="1:6" x14ac:dyDescent="0.35">
      <c r="A44" s="55"/>
      <c r="B44" s="56"/>
      <c r="C44" s="37"/>
      <c r="D44" s="37"/>
      <c r="E44" s="37"/>
      <c r="F44" s="58"/>
    </row>
    <row r="45" spans="1:6" x14ac:dyDescent="0.35">
      <c r="A45" s="55"/>
      <c r="B45" s="56"/>
      <c r="C45" s="37"/>
      <c r="D45" s="37"/>
      <c r="E45" s="37"/>
      <c r="F45" s="58"/>
    </row>
    <row r="46" spans="1:6" x14ac:dyDescent="0.35">
      <c r="A46" s="55"/>
      <c r="B46" s="56"/>
      <c r="C46" s="37"/>
      <c r="D46" s="37"/>
      <c r="E46" s="37"/>
      <c r="F46" s="58"/>
    </row>
    <row r="47" spans="1:6" x14ac:dyDescent="0.35">
      <c r="A47" s="55"/>
      <c r="B47" s="56"/>
      <c r="C47" s="37"/>
      <c r="D47" s="37"/>
      <c r="E47" s="37"/>
      <c r="F47" s="58"/>
    </row>
    <row r="48" spans="1:6" x14ac:dyDescent="0.35">
      <c r="A48" s="55"/>
      <c r="B48" s="56"/>
      <c r="C48" s="37"/>
      <c r="D48" s="37"/>
      <c r="E48" s="37"/>
      <c r="F48" s="58"/>
    </row>
    <row r="49" spans="1:6" ht="21.6" customHeight="1" x14ac:dyDescent="0.35">
      <c r="A49" s="64" t="s">
        <v>1849</v>
      </c>
      <c r="B49" s="65"/>
      <c r="C49" s="65"/>
      <c r="D49" s="65"/>
      <c r="E49" s="65"/>
      <c r="F49" s="66"/>
    </row>
  </sheetData>
  <mergeCells count="2">
    <mergeCell ref="A2:F2"/>
    <mergeCell ref="A49:F49"/>
  </mergeCells>
  <phoneticPr fontId="3" type="noConversion"/>
  <hyperlinks>
    <hyperlink ref="F9" r:id="rId1" xr:uid="{776265AE-9FDE-4DF8-9883-4D2518DE54DE}"/>
  </hyperlinks>
  <printOptions horizontalCentered="1"/>
  <pageMargins left="0.70866141732283472" right="0.70866141732283472" top="0.74803149606299213" bottom="0.74803149606299213" header="0.31496062992125984" footer="0.31496062992125984"/>
  <pageSetup scale="86" fitToWidth="0" orientation="portrait" r:id="rId2"/>
  <drawing r:id="rId3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 Price_IV</vt:lpstr>
      <vt:lpstr>견적서양식</vt:lpstr>
      <vt:lpstr>'2026 Price_IV'!Print_Area</vt:lpstr>
    </vt:vector>
  </TitlesOfParts>
  <Company>Atlas Copco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Sungho Moon</dc:creator>
  <cp:lastModifiedBy>Robin Lee</cp:lastModifiedBy>
  <cp:lastPrinted>2026-04-15T19:02:31Z</cp:lastPrinted>
  <dcterms:created xsi:type="dcterms:W3CDTF">2024-01-26T06:24:14Z</dcterms:created>
  <dcterms:modified xsi:type="dcterms:W3CDTF">2026-04-19T03:11:36Z</dcterms:modified>
</cp:coreProperties>
</file>